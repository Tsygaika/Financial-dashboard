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Users\aleks\Рабочий стол\DEV\python\Excel-table-parser\pythonProject\"/>
    </mc:Choice>
  </mc:AlternateContent>
  <xr:revisionPtr revIDLastSave="0" documentId="13_ncr:1_{36913D53-B479-4BAA-8B2B-0D38BD0B1DED}" xr6:coauthVersionLast="47" xr6:coauthVersionMax="47" xr10:uidLastSave="{00000000-0000-0000-0000-000000000000}"/>
  <bookViews>
    <workbookView xWindow="-108" yWindow="-108" windowWidth="23256" windowHeight="13896" tabRatio="794" activeTab="6" xr2:uid="{00000000-000D-0000-FFFF-FFFF00000000}"/>
  </bookViews>
  <sheets>
    <sheet name="Расходы" sheetId="2" r:id="rId1"/>
    <sheet name="Доходы" sheetId="3" r:id="rId2"/>
    <sheet name="Счёт 1" sheetId="4" r:id="rId3"/>
    <sheet name="Счёт 2" sheetId="5" r:id="rId4"/>
    <sheet name="Вклады" sheetId="6" r:id="rId5"/>
    <sheet name="Акции" sheetId="7" r:id="rId6"/>
    <sheet name="Активы" sheetId="8" r:id="rId7"/>
    <sheet name="consensus" sheetId="11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8" l="1"/>
  <c r="C9" i="8"/>
  <c r="D9" i="8"/>
  <c r="E9" i="8"/>
  <c r="F9" i="8"/>
  <c r="G9" i="8"/>
  <c r="G10" i="8" s="1"/>
  <c r="H9" i="8"/>
  <c r="I9" i="8"/>
  <c r="J9" i="8"/>
  <c r="K9" i="8"/>
  <c r="L9" i="8"/>
  <c r="M9" i="8"/>
  <c r="C7" i="8"/>
  <c r="C10" i="8" s="1"/>
  <c r="D7" i="8"/>
  <c r="D10" i="8" s="1"/>
  <c r="E7" i="8"/>
  <c r="E10" i="8" s="1"/>
  <c r="F7" i="8"/>
  <c r="F10" i="8" s="1"/>
  <c r="G7" i="8"/>
  <c r="H7" i="8"/>
  <c r="H10" i="8" s="1"/>
  <c r="I7" i="8"/>
  <c r="I10" i="8" s="1"/>
  <c r="J7" i="8"/>
  <c r="J10" i="8" s="1"/>
  <c r="K7" i="8"/>
  <c r="K10" i="8" s="1"/>
  <c r="L7" i="8"/>
  <c r="L10" i="8" s="1"/>
  <c r="M7" i="8"/>
  <c r="M10" i="8" s="1"/>
  <c r="C19" i="8"/>
  <c r="D19" i="8"/>
  <c r="D22" i="8" s="1"/>
  <c r="E19" i="8"/>
  <c r="F19" i="8"/>
  <c r="F22" i="8" s="1"/>
  <c r="G19" i="8"/>
  <c r="H19" i="8"/>
  <c r="H22" i="8" s="1"/>
  <c r="I19" i="8"/>
  <c r="I22" i="8" s="1"/>
  <c r="J19" i="8"/>
  <c r="J22" i="8" s="1"/>
  <c r="K19" i="8"/>
  <c r="L19" i="8"/>
  <c r="L22" i="8" s="1"/>
  <c r="M19" i="8"/>
  <c r="M22" i="8" s="1"/>
  <c r="C21" i="8"/>
  <c r="D21" i="8"/>
  <c r="E21" i="8"/>
  <c r="F21" i="8"/>
  <c r="G21" i="8"/>
  <c r="H21" i="8"/>
  <c r="I21" i="8"/>
  <c r="J21" i="8"/>
  <c r="K21" i="8"/>
  <c r="L21" i="8"/>
  <c r="M21" i="8"/>
  <c r="M3" i="8"/>
  <c r="L3" i="8"/>
  <c r="K3" i="8"/>
  <c r="J3" i="8"/>
  <c r="I3" i="8"/>
  <c r="H3" i="8"/>
  <c r="G3" i="8"/>
  <c r="F3" i="8"/>
  <c r="E3" i="8"/>
  <c r="D3" i="8"/>
  <c r="C3" i="8"/>
  <c r="B21" i="8"/>
  <c r="B19" i="8"/>
  <c r="E17" i="7"/>
  <c r="I17" i="7"/>
  <c r="M17" i="7"/>
  <c r="P17" i="7"/>
  <c r="Q17" i="7" s="1"/>
  <c r="F15" i="5"/>
  <c r="D15" i="5"/>
  <c r="G15" i="5" s="1"/>
  <c r="F14" i="5"/>
  <c r="D14" i="5"/>
  <c r="G14" i="5" s="1"/>
  <c r="F13" i="5"/>
  <c r="D13" i="5"/>
  <c r="G13" i="5" s="1"/>
  <c r="F12" i="5"/>
  <c r="D12" i="5"/>
  <c r="G12" i="5" s="1"/>
  <c r="F11" i="5"/>
  <c r="D11" i="5"/>
  <c r="G11" i="5" s="1"/>
  <c r="F10" i="5"/>
  <c r="D10" i="5"/>
  <c r="G10" i="5" s="1"/>
  <c r="F9" i="5"/>
  <c r="D9" i="5"/>
  <c r="G9" i="5" s="1"/>
  <c r="F8" i="5"/>
  <c r="D8" i="5"/>
  <c r="G8" i="5" s="1"/>
  <c r="F7" i="5"/>
  <c r="D7" i="5"/>
  <c r="G7" i="5" s="1"/>
  <c r="F6" i="5"/>
  <c r="D6" i="5"/>
  <c r="G6" i="5" s="1"/>
  <c r="F5" i="5"/>
  <c r="D5" i="5"/>
  <c r="G5" i="5" s="1"/>
  <c r="F4" i="5"/>
  <c r="D4" i="5"/>
  <c r="G4" i="5" s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B22" i="3"/>
  <c r="D22" i="3"/>
  <c r="F22" i="3"/>
  <c r="H22" i="3"/>
  <c r="J22" i="3"/>
  <c r="L22" i="3"/>
  <c r="N22" i="3"/>
  <c r="P22" i="3"/>
  <c r="P10" i="3"/>
  <c r="N10" i="3"/>
  <c r="L10" i="3"/>
  <c r="J10" i="3"/>
  <c r="H10" i="3"/>
  <c r="F10" i="3"/>
  <c r="D10" i="3"/>
  <c r="B10" i="3"/>
  <c r="B3" i="3"/>
  <c r="D3" i="3"/>
  <c r="F3" i="3"/>
  <c r="H3" i="3"/>
  <c r="J3" i="3"/>
  <c r="L3" i="3"/>
  <c r="N3" i="3"/>
  <c r="P3" i="3"/>
  <c r="P15" i="3"/>
  <c r="N15" i="3"/>
  <c r="L15" i="3"/>
  <c r="J15" i="3"/>
  <c r="H15" i="3"/>
  <c r="F15" i="3"/>
  <c r="D15" i="3"/>
  <c r="B15" i="3"/>
  <c r="X22" i="3"/>
  <c r="V22" i="3"/>
  <c r="T22" i="3"/>
  <c r="R22" i="3"/>
  <c r="T15" i="3"/>
  <c r="R15" i="3"/>
  <c r="X15" i="3"/>
  <c r="V15" i="3"/>
  <c r="E22" i="8" l="1"/>
  <c r="C22" i="8"/>
  <c r="K22" i="8"/>
  <c r="G22" i="8"/>
  <c r="B22" i="8"/>
  <c r="Z22" i="3"/>
  <c r="Z15" i="3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2" i="11"/>
  <c r="B9" i="8"/>
  <c r="B7" i="8"/>
  <c r="P20" i="7"/>
  <c r="Q20" i="7" s="1"/>
  <c r="M20" i="7"/>
  <c r="I20" i="7"/>
  <c r="E20" i="7"/>
  <c r="P19" i="7"/>
  <c r="Q19" i="7" s="1"/>
  <c r="M19" i="7"/>
  <c r="I19" i="7"/>
  <c r="E19" i="7"/>
  <c r="P18" i="7"/>
  <c r="Q18" i="7" s="1"/>
  <c r="M18" i="7"/>
  <c r="I18" i="7"/>
  <c r="E18" i="7"/>
  <c r="P16" i="7"/>
  <c r="Q16" i="7" s="1"/>
  <c r="M16" i="7"/>
  <c r="I16" i="7"/>
  <c r="E16" i="7"/>
  <c r="P15" i="7"/>
  <c r="Q15" i="7" s="1"/>
  <c r="M15" i="7"/>
  <c r="I15" i="7"/>
  <c r="E15" i="7"/>
  <c r="P14" i="7"/>
  <c r="Q14" i="7" s="1"/>
  <c r="M14" i="7"/>
  <c r="I14" i="7"/>
  <c r="E14" i="7"/>
  <c r="P13" i="7"/>
  <c r="Q13" i="7" s="1"/>
  <c r="M13" i="7"/>
  <c r="I13" i="7"/>
  <c r="E13" i="7"/>
  <c r="P12" i="7"/>
  <c r="Q12" i="7" s="1"/>
  <c r="M12" i="7"/>
  <c r="I12" i="7"/>
  <c r="E12" i="7"/>
  <c r="P11" i="7"/>
  <c r="Q11" i="7" s="1"/>
  <c r="M11" i="7"/>
  <c r="I11" i="7"/>
  <c r="E11" i="7"/>
  <c r="P10" i="7"/>
  <c r="Q10" i="7" s="1"/>
  <c r="M10" i="7"/>
  <c r="I10" i="7"/>
  <c r="E10" i="7"/>
  <c r="P9" i="7"/>
  <c r="Q9" i="7" s="1"/>
  <c r="M9" i="7"/>
  <c r="I9" i="7"/>
  <c r="E9" i="7"/>
  <c r="P8" i="7"/>
  <c r="Q8" i="7" s="1"/>
  <c r="M8" i="7"/>
  <c r="I8" i="7"/>
  <c r="E8" i="7"/>
  <c r="P7" i="7"/>
  <c r="Q7" i="7" s="1"/>
  <c r="M7" i="7"/>
  <c r="I7" i="7"/>
  <c r="E7" i="7"/>
  <c r="P6" i="7"/>
  <c r="Q6" i="7" s="1"/>
  <c r="M6" i="7"/>
  <c r="I6" i="7"/>
  <c r="E6" i="7"/>
  <c r="P5" i="7"/>
  <c r="Q5" i="7" s="1"/>
  <c r="M5" i="7"/>
  <c r="I5" i="7"/>
  <c r="E5" i="7"/>
  <c r="P4" i="7"/>
  <c r="Q4" i="7" s="1"/>
  <c r="M4" i="7"/>
  <c r="I4" i="7"/>
  <c r="E4" i="7"/>
  <c r="P3" i="7"/>
  <c r="Q3" i="7" s="1"/>
  <c r="M3" i="7"/>
  <c r="I3" i="7"/>
  <c r="E3" i="7"/>
  <c r="E14" i="6"/>
  <c r="E11" i="6"/>
  <c r="E7" i="6"/>
  <c r="E4" i="6"/>
  <c r="D15" i="4"/>
  <c r="G15" i="4" s="1"/>
  <c r="X10" i="3"/>
  <c r="V10" i="3"/>
  <c r="T10" i="3"/>
  <c r="R10" i="3"/>
  <c r="R3" i="3"/>
  <c r="X3" i="3"/>
  <c r="AL29" i="2"/>
  <c r="AL28" i="2"/>
  <c r="AL27" i="2"/>
  <c r="AL26" i="2"/>
  <c r="AL25" i="2"/>
  <c r="AL24" i="2"/>
  <c r="AL23" i="2"/>
  <c r="AL22" i="2"/>
  <c r="AI21" i="2"/>
  <c r="AF21" i="2"/>
  <c r="AC21" i="2"/>
  <c r="Z21" i="2"/>
  <c r="W21" i="2"/>
  <c r="T21" i="2"/>
  <c r="Q21" i="2"/>
  <c r="N21" i="2"/>
  <c r="K21" i="2"/>
  <c r="H21" i="2"/>
  <c r="E21" i="2"/>
  <c r="B21" i="2"/>
  <c r="AL11" i="2"/>
  <c r="AL10" i="2"/>
  <c r="B3" i="2"/>
  <c r="AL7" i="2"/>
  <c r="AI5" i="2"/>
  <c r="Q3" i="2"/>
  <c r="E3" i="2"/>
  <c r="N3" i="2"/>
  <c r="E8" i="6" l="1"/>
  <c r="E15" i="6"/>
  <c r="E10" i="6"/>
  <c r="E9" i="6"/>
  <c r="E5" i="6"/>
  <c r="E12" i="6"/>
  <c r="Z10" i="3"/>
  <c r="V3" i="3"/>
  <c r="T3" i="3"/>
  <c r="AL9" i="2"/>
  <c r="Z3" i="3"/>
  <c r="AL5" i="2"/>
  <c r="K3" i="2"/>
  <c r="AC3" i="2"/>
  <c r="Z3" i="2"/>
  <c r="AL32" i="2"/>
  <c r="AI3" i="2"/>
  <c r="D26" i="4"/>
  <c r="G26" i="4" s="1"/>
  <c r="D22" i="4"/>
  <c r="G22" i="4" s="1"/>
  <c r="D18" i="4"/>
  <c r="G18" i="4" s="1"/>
  <c r="D27" i="4"/>
  <c r="G27" i="4" s="1"/>
  <c r="D17" i="4"/>
  <c r="G17" i="4" s="1"/>
  <c r="D11" i="4"/>
  <c r="G11" i="4" s="1"/>
  <c r="D23" i="4"/>
  <c r="G23" i="4" s="1"/>
  <c r="D24" i="4"/>
  <c r="G24" i="4" s="1"/>
  <c r="D13" i="4"/>
  <c r="D12" i="4"/>
  <c r="G12" i="4" s="1"/>
  <c r="AL8" i="2"/>
  <c r="D7" i="4"/>
  <c r="G7" i="4" s="1"/>
  <c r="D8" i="4"/>
  <c r="G8" i="4" s="1"/>
  <c r="D5" i="4"/>
  <c r="G5" i="4" s="1"/>
  <c r="E6" i="6"/>
  <c r="E21" i="7"/>
  <c r="F15" i="7" s="1"/>
  <c r="H3" i="2"/>
  <c r="D25" i="4"/>
  <c r="G25" i="4" s="1"/>
  <c r="D4" i="4"/>
  <c r="D9" i="4"/>
  <c r="G9" i="4" s="1"/>
  <c r="D19" i="4"/>
  <c r="G19" i="4" s="1"/>
  <c r="AL21" i="2"/>
  <c r="D14" i="4"/>
  <c r="G14" i="4" s="1"/>
  <c r="AL4" i="2"/>
  <c r="D10" i="4"/>
  <c r="G10" i="4" s="1"/>
  <c r="D20" i="4"/>
  <c r="G20" i="4" s="1"/>
  <c r="AF3" i="2"/>
  <c r="D6" i="4"/>
  <c r="G6" i="4" s="1"/>
  <c r="D21" i="4"/>
  <c r="G21" i="4" s="1"/>
  <c r="T3" i="2"/>
  <c r="D16" i="4"/>
  <c r="AL6" i="2"/>
  <c r="Q21" i="7"/>
  <c r="AL14" i="2"/>
  <c r="G13" i="4"/>
  <c r="M21" i="7"/>
  <c r="W3" i="2"/>
  <c r="I21" i="7"/>
  <c r="E13" i="6"/>
  <c r="B10" i="8"/>
  <c r="F6" i="7" l="1"/>
  <c r="N11" i="7"/>
  <c r="N17" i="7"/>
  <c r="R3" i="7"/>
  <c r="R17" i="7"/>
  <c r="J5" i="7"/>
  <c r="J17" i="7"/>
  <c r="F17" i="7"/>
  <c r="R7" i="7"/>
  <c r="F12" i="7"/>
  <c r="F9" i="7"/>
  <c r="F7" i="7"/>
  <c r="R10" i="7"/>
  <c r="R18" i="7"/>
  <c r="R13" i="7"/>
  <c r="R14" i="7"/>
  <c r="R9" i="7"/>
  <c r="R4" i="7"/>
  <c r="R12" i="7"/>
  <c r="R6" i="7"/>
  <c r="F8" i="7"/>
  <c r="R11" i="7"/>
  <c r="F18" i="7"/>
  <c r="J10" i="7"/>
  <c r="J9" i="7"/>
  <c r="J19" i="7"/>
  <c r="J3" i="7"/>
  <c r="J16" i="7"/>
  <c r="N6" i="7"/>
  <c r="G16" i="4"/>
  <c r="J15" i="7"/>
  <c r="J12" i="7"/>
  <c r="N5" i="7"/>
  <c r="J11" i="7"/>
  <c r="J7" i="7"/>
  <c r="G4" i="4"/>
  <c r="F13" i="7"/>
  <c r="F3" i="7"/>
  <c r="N20" i="7"/>
  <c r="O20" i="7" s="1"/>
  <c r="N4" i="7"/>
  <c r="N19" i="7"/>
  <c r="N3" i="7"/>
  <c r="N9" i="7"/>
  <c r="N13" i="7"/>
  <c r="N16" i="7"/>
  <c r="N14" i="7"/>
  <c r="N10" i="7"/>
  <c r="N7" i="7"/>
  <c r="AL3" i="2"/>
  <c r="J18" i="7"/>
  <c r="J14" i="7"/>
  <c r="N12" i="7"/>
  <c r="J20" i="7"/>
  <c r="K20" i="7" s="1"/>
  <c r="F20" i="7"/>
  <c r="G20" i="7" s="1"/>
  <c r="J6" i="7"/>
  <c r="F14" i="7"/>
  <c r="R20" i="7"/>
  <c r="S20" i="7" s="1"/>
  <c r="R15" i="7"/>
  <c r="R8" i="7"/>
  <c r="R19" i="7"/>
  <c r="J8" i="7"/>
  <c r="R5" i="7"/>
  <c r="J13" i="7"/>
  <c r="F11" i="7"/>
  <c r="F10" i="7"/>
  <c r="F4" i="7"/>
  <c r="F5" i="7"/>
  <c r="N18" i="7"/>
  <c r="N15" i="7"/>
  <c r="F19" i="7"/>
  <c r="N8" i="7"/>
  <c r="J4" i="7"/>
  <c r="R16" i="7"/>
  <c r="F16" i="7"/>
  <c r="G18" i="7" l="1"/>
  <c r="S18" i="7"/>
  <c r="S13" i="7"/>
  <c r="O18" i="7"/>
  <c r="K18" i="7"/>
  <c r="S3" i="7"/>
  <c r="K3" i="7"/>
  <c r="G13" i="7"/>
  <c r="O13" i="7"/>
  <c r="G3" i="7"/>
  <c r="K13" i="7"/>
  <c r="O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Tsygaika ⠀</author>
  </authors>
  <commentList>
    <comment ref="E1" authorId="0" shapeId="0" xr:uid="{00000000-0006-0000-0A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Tsygaika ⠀:
стоит отметить, что этот столбец по смыслу может содержать в себе другие. То есть, например, тут 1 может стоять за то, что компания хороша с точки зрения дивидендов. За это же может стоять 1 в столбце див. акция по мнению аналитиков 2025</t>
        </r>
      </text>
    </comment>
    <comment ref="E5" authorId="0" shapeId="0" xr:uid="{00000000-0006-0000-0A00-000002000000}">
      <text>
        <r>
          <rPr>
            <sz val="11"/>
            <color theme="1"/>
            <rFont val="Calibri"/>
            <family val="2"/>
            <charset val="204"/>
            <scheme val="minor"/>
          </rPr>
          <t>Tsygaika ⠀:
контрцикл</t>
        </r>
      </text>
    </comment>
    <comment ref="G5" authorId="0" shapeId="0" xr:uid="{00000000-0006-0000-0A00-000003000000}">
      <text>
        <r>
          <rPr>
            <sz val="11"/>
            <color theme="1"/>
            <rFont val="Calibri"/>
            <family val="2"/>
            <charset val="204"/>
            <scheme val="minor"/>
          </rPr>
          <t>Tsygaika ⠀:
только как контрцикл</t>
        </r>
      </text>
    </comment>
    <comment ref="K7" authorId="0" shapeId="0" xr:uid="{00000000-0006-0000-0A00-000004000000}">
      <text>
        <r>
          <rPr>
            <sz val="11"/>
            <color theme="1"/>
            <rFont val="Calibri"/>
            <family val="2"/>
            <charset val="204"/>
            <scheme val="minor"/>
          </rPr>
          <t>Tsygaika ⠀:
продать при первом же выходе в +</t>
        </r>
      </text>
    </comment>
    <comment ref="K12" authorId="0" shapeId="0" xr:uid="{00000000-0006-0000-0A00-000005000000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Tsygaika ⠀:
продать после окончания коррекции
</t>
        </r>
      </text>
    </comment>
    <comment ref="K20" authorId="0" shapeId="0" xr:uid="{00000000-0006-0000-0A00-000006000000}">
      <text>
        <r>
          <rPr>
            <sz val="11"/>
            <color theme="1"/>
            <rFont val="Calibri"/>
            <family val="2"/>
            <charset val="204"/>
            <scheme val="minor"/>
          </rPr>
          <t>Tsygaika ⠀:
компания может принести прибыль, продавать не надо</t>
        </r>
      </text>
    </comment>
    <comment ref="K21" authorId="0" shapeId="0" xr:uid="{00000000-0006-0000-0A00-000007000000}">
      <text>
        <r>
          <rPr>
            <sz val="11"/>
            <color theme="1"/>
            <rFont val="Calibri"/>
            <family val="2"/>
            <charset val="204"/>
            <scheme val="minor"/>
          </rPr>
          <t>Tsygaika ⠀:
Мало хорошей информации по компании, возможно, пора продавать</t>
        </r>
      </text>
    </comment>
    <comment ref="K22" authorId="0" shapeId="0" xr:uid="{00000000-0006-0000-0A00-000008000000}">
      <text>
        <r>
          <rPr>
            <sz val="11"/>
            <color theme="1"/>
            <rFont val="Calibri"/>
            <family val="2"/>
            <charset val="204"/>
            <scheme val="minor"/>
          </rPr>
          <t>Tsygaika ⠀:
уменьшить долю компании</t>
        </r>
      </text>
    </comment>
  </commentList>
</comments>
</file>

<file path=xl/sharedStrings.xml><?xml version="1.0" encoding="utf-8"?>
<sst xmlns="http://schemas.openxmlformats.org/spreadsheetml/2006/main" count="389" uniqueCount="132">
  <si>
    <t>За все время</t>
  </si>
  <si>
    <t>За месяц</t>
  </si>
  <si>
    <t>янв</t>
  </si>
  <si>
    <t>%</t>
  </si>
  <si>
    <t>К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</si>
  <si>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</si>
  <si>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</si>
  <si>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</si>
  <si>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</si>
  <si>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</si>
  <si>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</si>
  <si>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</si>
  <si>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</si>
  <si>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</si>
  <si>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</si>
  <si>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</si>
  <si>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Сумма</t>
  </si>
  <si>
    <t>Обеды</t>
  </si>
  <si>
    <t>Вода</t>
  </si>
  <si>
    <t>Банки</t>
  </si>
  <si>
    <t>Проезд</t>
  </si>
  <si>
    <t>Телефон</t>
  </si>
  <si>
    <t>Подписка</t>
  </si>
  <si>
    <t>Другое</t>
  </si>
  <si>
    <t>Ср. в друг.</t>
  </si>
  <si>
    <t>Яндекс</t>
  </si>
  <si>
    <t>Стипендия</t>
  </si>
  <si>
    <t>Вклады</t>
  </si>
  <si>
    <t>Кэшбек</t>
  </si>
  <si>
    <t>Ассистентство</t>
  </si>
  <si>
    <t>Год</t>
  </si>
  <si>
    <t>Месяц</t>
  </si>
  <si>
    <t>Операции</t>
  </si>
  <si>
    <t>Чистая сумма на конец месяца</t>
  </si>
  <si>
    <t>январь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</si>
  <si>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</si>
  <si>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</si>
  <si>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</si>
  <si>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</si>
  <si>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</si>
  <si>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</si>
  <si>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</si>
  <si>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апрель</t>
  </si>
  <si>
    <t>март</t>
  </si>
  <si>
    <t>февраль</t>
  </si>
  <si>
    <t>Чистая база</t>
  </si>
  <si>
    <t>Доход за месяц</t>
  </si>
  <si>
    <t>Тикер</t>
  </si>
  <si>
    <t>Цена</t>
  </si>
  <si>
    <t>Всего</t>
  </si>
  <si>
    <t>Кол-во</t>
  </si>
  <si>
    <t>Общий %</t>
  </si>
  <si>
    <t>Акции</t>
  </si>
  <si>
    <t>LKOH</t>
  </si>
  <si>
    <t>X5</t>
  </si>
  <si>
    <t>NVTK</t>
  </si>
  <si>
    <t>NLMK</t>
  </si>
  <si>
    <t>HEAD</t>
  </si>
  <si>
    <t>SMLT</t>
  </si>
  <si>
    <t>MOEX</t>
  </si>
  <si>
    <t>OZON</t>
  </si>
  <si>
    <t>YDEX</t>
  </si>
  <si>
    <t>T</t>
  </si>
  <si>
    <t>TATN</t>
  </si>
  <si>
    <t>SNGSP</t>
  </si>
  <si>
    <t>SBER</t>
  </si>
  <si>
    <t>ROSN</t>
  </si>
  <si>
    <t>ASTR</t>
  </si>
  <si>
    <t>TRNFP</t>
  </si>
  <si>
    <t>Облигации</t>
  </si>
  <si>
    <t>SU26233RMFS5</t>
  </si>
  <si>
    <t>SU26249RMFS1</t>
  </si>
  <si>
    <t>SU26251RMFS7</t>
  </si>
  <si>
    <t>SU26228RMFS5</t>
  </si>
  <si>
    <t>SU26236RMFS8</t>
  </si>
  <si>
    <t>Фонды</t>
  </si>
  <si>
    <t>LQDT</t>
  </si>
  <si>
    <t>SBGD</t>
  </si>
  <si>
    <t>Валюты</t>
  </si>
  <si>
    <t>Сумма:</t>
  </si>
  <si>
    <t>Акция роста 2025 по мнению аналитиков</t>
  </si>
  <si>
    <t>Див. акция 2025 по мнению аналитиков</t>
  </si>
  <si>
    <t>Из списка Артема Давыдова</t>
  </si>
  <si>
    <t>Мнение Артема Давыдова</t>
  </si>
  <si>
    <t>Мнение CashFlow</t>
  </si>
  <si>
    <t>Контрцикл</t>
  </si>
  <si>
    <t>Результат</t>
  </si>
  <si>
    <t>действие</t>
  </si>
  <si>
    <t>дата</t>
  </si>
  <si>
    <t>причина</t>
  </si>
  <si>
    <t>сбер</t>
  </si>
  <si>
    <t>Уменьшить</t>
  </si>
  <si>
    <t>слишком большая доля в портфеле, есть риск повышенного налооблажения</t>
  </si>
  <si>
    <t>мосбиржа</t>
  </si>
  <si>
    <t>большая доля, мало упоминаний</t>
  </si>
  <si>
    <t>Держать</t>
  </si>
  <si>
    <t>частые упоминания</t>
  </si>
  <si>
    <t>Самолет</t>
  </si>
  <si>
    <t>контрцикл. В какой-то момент надо будет продать</t>
  </si>
  <si>
    <t>Новатэк</t>
  </si>
  <si>
    <t>Следить</t>
  </si>
  <si>
    <t>контрцикл + ставка на мир. Сильно не вырастет из-за санкций</t>
  </si>
  <si>
    <t>Роснефть</t>
  </si>
  <si>
    <t>стала редко упоминаться</t>
  </si>
  <si>
    <t>Татнефть</t>
  </si>
  <si>
    <t>Астра</t>
  </si>
  <si>
    <t>частые упоминания, растущая компания</t>
  </si>
  <si>
    <t>НЛМК</t>
  </si>
  <si>
    <t>мнение аналитиков</t>
  </si>
  <si>
    <t>Озон</t>
  </si>
  <si>
    <t>выбрал сам, поэтому надо следить</t>
  </si>
  <si>
    <t>Транснефть</t>
  </si>
  <si>
    <t>есть риск низких дивидендов, при этом мало рекомендаций</t>
  </si>
  <si>
    <t>Тинькофф</t>
  </si>
  <si>
    <t>Хэдхантер</t>
  </si>
  <si>
    <t>стала реже упоминаться, не растет вместе с рынком</t>
  </si>
  <si>
    <t>Лукойл</t>
  </si>
  <si>
    <t>Сургут-ап</t>
  </si>
  <si>
    <t>Актуально на:</t>
  </si>
  <si>
    <t>Маркетплейсы</t>
  </si>
  <si>
    <t>Подписки</t>
  </si>
  <si>
    <t>Супермаркеты</t>
  </si>
  <si>
    <t>ср. в друг.</t>
  </si>
  <si>
    <t>Сумма на конец месяца</t>
  </si>
  <si>
    <t>Счет 1</t>
  </si>
  <si>
    <t>Счет 2</t>
  </si>
  <si>
    <t>Счет 3</t>
  </si>
  <si>
    <t>RUB</t>
  </si>
  <si>
    <t>Валюта</t>
  </si>
  <si>
    <t>Наличные</t>
  </si>
  <si>
    <t>Брок.счета</t>
  </si>
  <si>
    <t>Золото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</si>
</sst>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#,##0.00\ &quot;₽&quot;"/>
    <numFmt numFmtId="167" formatCode="#,##0\ &quot;₽&quot;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2" tint="-0.74999237037263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1"/>
      <color rgb="FF5B595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75623"/>
      <name val="Calibri"/>
      <family val="2"/>
      <charset val="204"/>
      <scheme val="minor"/>
    </font>
    <font>
      <sz val="11"/>
      <color rgb="FF806000"/>
      <name val="Calibri"/>
      <family val="2"/>
      <charset val="204"/>
      <scheme val="minor"/>
    </font>
    <font>
      <sz val="11"/>
      <color rgb="FF833C0C"/>
      <name val="Calibri"/>
      <family val="2"/>
      <charset val="204"/>
      <scheme val="minor"/>
    </font>
    <font>
      <sz val="11"/>
      <color rgb="FF757171"/>
      <name val="Calibri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87BF61"/>
        <bgColor indexed="64"/>
      </patternFill>
    </fill>
    <fill>
      <patternFill patternType="solid">
        <fgColor rgb="FF6BA74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43682A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/>
      </left>
      <right/>
      <top/>
      <bottom/>
      <diagonal/>
    </border>
    <border>
      <left style="thin">
        <color theme="0" tint="-4.9989318521683403E-2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 tint="-4.9989318521683403E-2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/>
      <bottom/>
      <diagonal/>
    </border>
    <border>
      <left style="thin">
        <color theme="2" tint="-9.9978637043366805E-2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9.9978637043366805E-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9" fontId="2" fillId="0" borderId="0"/>
  </cellStyleXfs>
  <cellXfs count="190">
    <xf numFmtId="0" fontId="0" fillId="0" borderId="0" xfId="0"/>
    <xf numFmtId="14" fontId="0" fillId="4" borderId="6" xfId="0" applyNumberFormat="1" applyFill="1" applyBorder="1"/>
    <xf numFmtId="0" fontId="0" fillId="0" borderId="2" xfId="0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vertical="center"/>
    </xf>
    <xf numFmtId="10" fontId="0" fillId="0" borderId="0" xfId="0" applyNumberFormat="1"/>
    <xf numFmtId="0" fontId="0" fillId="0" borderId="8" xfId="0" applyBorder="1"/>
    <xf numFmtId="0" fontId="0" fillId="0" borderId="31" xfId="0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0" fillId="4" borderId="43" xfId="0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9" fontId="5" fillId="0" borderId="45" xfId="1" applyFont="1" applyBorder="1" applyAlignment="1">
      <alignment horizontal="center" vertical="center"/>
    </xf>
    <xf numFmtId="9" fontId="5" fillId="0" borderId="47" xfId="1" applyFont="1" applyBorder="1" applyAlignment="1">
      <alignment horizontal="center" vertical="center"/>
    </xf>
    <xf numFmtId="9" fontId="5" fillId="0" borderId="49" xfId="1" applyFont="1" applyBorder="1" applyAlignment="1">
      <alignment horizontal="center" vertical="center"/>
    </xf>
    <xf numFmtId="9" fontId="6" fillId="0" borderId="50" xfId="1" applyFont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1" fillId="6" borderId="55" xfId="0" applyFont="1" applyFill="1" applyBorder="1" applyAlignment="1">
      <alignment horizontal="left" vertical="center"/>
    </xf>
    <xf numFmtId="0" fontId="1" fillId="6" borderId="56" xfId="0" applyFont="1" applyFill="1" applyBorder="1" applyAlignment="1">
      <alignment horizontal="left" vertical="center"/>
    </xf>
    <xf numFmtId="0" fontId="1" fillId="6" borderId="57" xfId="0" applyFont="1" applyFill="1" applyBorder="1" applyAlignment="1">
      <alignment horizontal="left" vertical="center"/>
    </xf>
    <xf numFmtId="0" fontId="1" fillId="6" borderId="21" xfId="0" applyFont="1" applyFill="1" applyBorder="1" applyAlignment="1">
      <alignment horizontal="left" vertical="center"/>
    </xf>
    <xf numFmtId="0" fontId="0" fillId="3" borderId="38" xfId="0" applyFill="1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0" fontId="0" fillId="0" borderId="41" xfId="0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3" borderId="35" xfId="0" applyFill="1" applyBorder="1" applyAlignment="1">
      <alignment horizontal="left" vertical="center"/>
    </xf>
    <xf numFmtId="0" fontId="0" fillId="7" borderId="0" xfId="0" applyFill="1" applyAlignment="1">
      <alignment horizontal="right" vertical="center"/>
    </xf>
    <xf numFmtId="0" fontId="0" fillId="7" borderId="41" xfId="0" applyFill="1" applyBorder="1" applyAlignment="1">
      <alignment horizontal="right" vertical="center"/>
    </xf>
    <xf numFmtId="0" fontId="4" fillId="8" borderId="0" xfId="0" applyFont="1" applyFill="1"/>
    <xf numFmtId="0" fontId="4" fillId="8" borderId="24" xfId="0" applyFont="1" applyFill="1" applyBorder="1"/>
    <xf numFmtId="0" fontId="4" fillId="8" borderId="38" xfId="0" applyFont="1" applyFill="1" applyBorder="1"/>
    <xf numFmtId="0" fontId="4" fillId="9" borderId="40" xfId="0" applyFont="1" applyFill="1" applyBorder="1"/>
    <xf numFmtId="0" fontId="4" fillId="9" borderId="41" xfId="0" applyFont="1" applyFill="1" applyBorder="1"/>
    <xf numFmtId="2" fontId="0" fillId="0" borderId="25" xfId="0" applyNumberFormat="1" applyBorder="1"/>
    <xf numFmtId="0" fontId="0" fillId="0" borderId="26" xfId="0" applyBorder="1"/>
    <xf numFmtId="0" fontId="0" fillId="0" borderId="27" xfId="0" applyBorder="1"/>
    <xf numFmtId="0" fontId="4" fillId="7" borderId="29" xfId="0" applyFont="1" applyFill="1" applyBorder="1" applyAlignment="1">
      <alignment horizontal="center" vertical="center"/>
    </xf>
    <xf numFmtId="0" fontId="0" fillId="0" borderId="20" xfId="0" applyBorder="1"/>
    <xf numFmtId="0" fontId="4" fillId="7" borderId="19" xfId="0" applyFont="1" applyFill="1" applyBorder="1" applyAlignment="1">
      <alignment horizontal="center" vertical="center"/>
    </xf>
    <xf numFmtId="0" fontId="0" fillId="0" borderId="19" xfId="0" applyBorder="1"/>
    <xf numFmtId="0" fontId="4" fillId="7" borderId="22" xfId="0" applyFont="1" applyFill="1" applyBorder="1" applyAlignment="1">
      <alignment horizontal="center" vertical="center"/>
    </xf>
    <xf numFmtId="14" fontId="0" fillId="4" borderId="0" xfId="0" applyNumberFormat="1" applyFill="1" applyAlignment="1">
      <alignment horizontal="left" vertical="center" wrapText="1"/>
    </xf>
    <xf numFmtId="14" fontId="0" fillId="4" borderId="7" xfId="0" applyNumberFormat="1" applyFill="1" applyBorder="1" applyAlignment="1">
      <alignment horizontal="left" vertical="center"/>
    </xf>
    <xf numFmtId="0" fontId="0" fillId="0" borderId="63" xfId="0" applyBorder="1" applyAlignment="1">
      <alignment vertical="center"/>
    </xf>
    <xf numFmtId="0" fontId="4" fillId="0" borderId="0" xfId="0" applyFont="1"/>
    <xf numFmtId="22" fontId="0" fillId="0" borderId="0" xfId="0" applyNumberFormat="1"/>
    <xf numFmtId="0" fontId="0" fillId="0" borderId="64" xfId="0" applyBorder="1" applyAlignment="1">
      <alignment vertical="center"/>
    </xf>
    <xf numFmtId="0" fontId="0" fillId="0" borderId="23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7" fillId="0" borderId="62" xfId="0" applyFont="1" applyBorder="1" applyAlignment="1">
      <alignment vertical="center"/>
    </xf>
    <xf numFmtId="0" fontId="7" fillId="0" borderId="63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0" fillId="0" borderId="16" xfId="0" applyBorder="1"/>
    <xf numFmtId="0" fontId="0" fillId="0" borderId="23" xfId="0" applyBorder="1"/>
    <xf numFmtId="0" fontId="0" fillId="0" borderId="67" xfId="0" applyBorder="1"/>
    <xf numFmtId="0" fontId="0" fillId="0" borderId="30" xfId="0" applyBorder="1"/>
    <xf numFmtId="0" fontId="0" fillId="0" borderId="68" xfId="0" applyBorder="1"/>
    <xf numFmtId="0" fontId="0" fillId="0" borderId="17" xfId="0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31" xfId="0" applyBorder="1" applyAlignment="1">
      <alignment horizontal="center" vertical="center" wrapText="1"/>
    </xf>
    <xf numFmtId="14" fontId="0" fillId="2" borderId="0" xfId="0" applyNumberFormat="1" applyFill="1"/>
    <xf numFmtId="0" fontId="0" fillId="2" borderId="3" xfId="0" applyFill="1" applyBorder="1"/>
    <xf numFmtId="0" fontId="0" fillId="2" borderId="2" xfId="0" applyFill="1" applyBorder="1"/>
    <xf numFmtId="0" fontId="0" fillId="2" borderId="23" xfId="0" applyFill="1" applyBorder="1"/>
    <xf numFmtId="16" fontId="0" fillId="0" borderId="0" xfId="0" applyNumberFormat="1" applyAlignment="1">
      <alignment vertical="center"/>
    </xf>
    <xf numFmtId="14" fontId="0" fillId="3" borderId="0" xfId="0" applyNumberFormat="1" applyFill="1"/>
    <xf numFmtId="0" fontId="0" fillId="3" borderId="2" xfId="0" applyFill="1" applyBorder="1"/>
    <xf numFmtId="14" fontId="0" fillId="5" borderId="0" xfId="0" applyNumberFormat="1" applyFill="1"/>
    <xf numFmtId="0" fontId="0" fillId="5" borderId="2" xfId="0" applyFill="1" applyBorder="1"/>
    <xf numFmtId="14" fontId="0" fillId="13" borderId="0" xfId="0" applyNumberFormat="1" applyFill="1"/>
    <xf numFmtId="14" fontId="0" fillId="14" borderId="0" xfId="0" applyNumberFormat="1" applyFill="1"/>
    <xf numFmtId="0" fontId="0" fillId="14" borderId="2" xfId="0" applyFill="1" applyBorder="1"/>
    <xf numFmtId="14" fontId="0" fillId="15" borderId="0" xfId="0" applyNumberFormat="1" applyFill="1"/>
    <xf numFmtId="0" fontId="0" fillId="15" borderId="2" xfId="0" applyFill="1" applyBorder="1"/>
    <xf numFmtId="14" fontId="0" fillId="16" borderId="0" xfId="0" applyNumberFormat="1" applyFill="1"/>
    <xf numFmtId="0" fontId="0" fillId="16" borderId="0" xfId="0" applyFill="1"/>
    <xf numFmtId="0" fontId="0" fillId="16" borderId="2" xfId="0" applyFill="1" applyBorder="1"/>
    <xf numFmtId="0" fontId="1" fillId="3" borderId="37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0" fillId="0" borderId="38" xfId="0" applyNumberFormat="1" applyBorder="1" applyAlignment="1">
      <alignment horizontal="center" vertical="center"/>
    </xf>
    <xf numFmtId="165" fontId="0" fillId="0" borderId="39" xfId="0" applyNumberFormat="1" applyBorder="1" applyAlignment="1">
      <alignment horizontal="center" vertical="center"/>
    </xf>
    <xf numFmtId="166" fontId="0" fillId="0" borderId="5" xfId="0" applyNumberFormat="1" applyBorder="1"/>
    <xf numFmtId="166" fontId="0" fillId="0" borderId="0" xfId="0" applyNumberFormat="1"/>
    <xf numFmtId="166" fontId="0" fillId="0" borderId="2" xfId="0" applyNumberFormat="1" applyBorder="1" applyAlignment="1">
      <alignment vertical="center"/>
    </xf>
    <xf numFmtId="167" fontId="0" fillId="9" borderId="28" xfId="0" applyNumberFormat="1" applyFill="1" applyBorder="1"/>
    <xf numFmtId="167" fontId="4" fillId="9" borderId="28" xfId="0" applyNumberFormat="1" applyFont="1" applyFill="1" applyBorder="1"/>
    <xf numFmtId="166" fontId="10" fillId="12" borderId="5" xfId="0" applyNumberFormat="1" applyFont="1" applyFill="1" applyBorder="1"/>
    <xf numFmtId="166" fontId="8" fillId="10" borderId="65" xfId="0" applyNumberFormat="1" applyFont="1" applyFill="1" applyBorder="1"/>
    <xf numFmtId="166" fontId="9" fillId="11" borderId="5" xfId="0" applyNumberFormat="1" applyFont="1" applyFill="1" applyBorder="1"/>
    <xf numFmtId="0" fontId="0" fillId="9" borderId="0" xfId="0" applyFill="1" applyAlignment="1">
      <alignment horizontal="left" vertical="center"/>
    </xf>
    <xf numFmtId="0" fontId="0" fillId="9" borderId="38" xfId="0" applyFill="1" applyBorder="1" applyAlignment="1">
      <alignment horizontal="left" vertical="center"/>
    </xf>
    <xf numFmtId="0" fontId="1" fillId="9" borderId="33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22" xfId="0" applyBorder="1"/>
    <xf numFmtId="14" fontId="0" fillId="4" borderId="7" xfId="0" applyNumberFormat="1" applyFill="1" applyBorder="1" applyAlignment="1">
      <alignment wrapText="1"/>
    </xf>
    <xf numFmtId="0" fontId="2" fillId="0" borderId="0" xfId="1" applyNumberFormat="1"/>
    <xf numFmtId="14" fontId="0" fillId="4" borderId="7" xfId="0" applyNumberFormat="1" applyFill="1" applyBorder="1"/>
    <xf numFmtId="14" fontId="0" fillId="4" borderId="7" xfId="0" applyNumberFormat="1" applyFill="1" applyBorder="1" applyAlignment="1">
      <alignment horizontal="left" vertical="center" wrapText="1"/>
    </xf>
    <xf numFmtId="14" fontId="0" fillId="4" borderId="73" xfId="0" applyNumberFormat="1" applyFill="1" applyBorder="1" applyAlignment="1">
      <alignment horizontal="left" vertical="center" wrapText="1"/>
    </xf>
    <xf numFmtId="0" fontId="4" fillId="0" borderId="4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5" xfId="0" applyBorder="1"/>
    <xf numFmtId="0" fontId="0" fillId="0" borderId="3" xfId="0" applyBorder="1"/>
    <xf numFmtId="0" fontId="0" fillId="0" borderId="13" xfId="0" applyBorder="1"/>
    <xf numFmtId="0" fontId="1" fillId="3" borderId="1" xfId="0" applyFont="1" applyFill="1" applyBorder="1" applyAlignment="1">
      <alignment horizontal="center" vertical="center"/>
    </xf>
    <xf numFmtId="0" fontId="1" fillId="6" borderId="59" xfId="0" applyFont="1" applyFill="1" applyBorder="1" applyAlignment="1">
      <alignment horizontal="left" vertical="center"/>
    </xf>
    <xf numFmtId="10" fontId="0" fillId="0" borderId="2" xfId="1" applyNumberFormat="1" applyFon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4" fillId="7" borderId="28" xfId="0" applyFont="1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left" vertical="center"/>
    </xf>
    <xf numFmtId="0" fontId="0" fillId="0" borderId="81" xfId="0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5" xfId="0" applyBorder="1" applyAlignment="1">
      <alignment horizontal="left" vertical="center"/>
    </xf>
    <xf numFmtId="0" fontId="11" fillId="0" borderId="77" xfId="0" applyFont="1" applyBorder="1" applyAlignment="1">
      <alignment horizontal="center" vertical="center"/>
    </xf>
    <xf numFmtId="16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0" fillId="0" borderId="0" xfId="0"/>
    <xf numFmtId="0" fontId="0" fillId="0" borderId="5" xfId="0" applyBorder="1"/>
    <xf numFmtId="0" fontId="1" fillId="6" borderId="59" xfId="0" applyFont="1" applyFill="1" applyBorder="1" applyAlignment="1">
      <alignment horizontal="left" vertical="center"/>
    </xf>
    <xf numFmtId="10" fontId="0" fillId="0" borderId="2" xfId="1" applyNumberFormat="1" applyFon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4" fillId="7" borderId="2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/>
    <xf numFmtId="0" fontId="0" fillId="0" borderId="3" xfId="0" applyBorder="1"/>
    <xf numFmtId="0" fontId="1" fillId="3" borderId="36" xfId="0" applyFont="1" applyFill="1" applyBorder="1" applyAlignment="1">
      <alignment horizontal="center" vertical="center"/>
    </xf>
    <xf numFmtId="0" fontId="0" fillId="0" borderId="37" xfId="0" applyBorder="1"/>
    <xf numFmtId="0" fontId="0" fillId="0" borderId="58" xfId="0" applyBorder="1"/>
    <xf numFmtId="0" fontId="1" fillId="3" borderId="1" xfId="0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1" fillId="9" borderId="21" xfId="0" applyFont="1" applyFill="1" applyBorder="1" applyAlignment="1">
      <alignment horizontal="center" vertical="center"/>
    </xf>
    <xf numFmtId="0" fontId="0" fillId="0" borderId="38" xfId="0" applyBorder="1"/>
    <xf numFmtId="0" fontId="1" fillId="6" borderId="59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 textRotation="90"/>
    </xf>
    <xf numFmtId="0" fontId="0" fillId="0" borderId="83" xfId="0" applyBorder="1" applyAlignment="1">
      <alignment horizontal="center" vertical="center"/>
    </xf>
    <xf numFmtId="0" fontId="0" fillId="0" borderId="72" xfId="0" applyBorder="1"/>
    <xf numFmtId="0" fontId="0" fillId="0" borderId="74" xfId="0" applyBorder="1"/>
    <xf numFmtId="0" fontId="0" fillId="0" borderId="75" xfId="0" applyBorder="1" applyAlignment="1">
      <alignment horizontal="center" vertical="center"/>
    </xf>
    <xf numFmtId="0" fontId="0" fillId="0" borderId="69" xfId="0" applyBorder="1"/>
    <xf numFmtId="0" fontId="0" fillId="0" borderId="76" xfId="0" applyBorder="1" applyAlignment="1">
      <alignment horizontal="center" vertical="center"/>
    </xf>
    <xf numFmtId="0" fontId="0" fillId="0" borderId="70" xfId="0" applyBorder="1"/>
    <xf numFmtId="0" fontId="0" fillId="0" borderId="78" xfId="0" applyBorder="1"/>
    <xf numFmtId="0" fontId="0" fillId="0" borderId="83" xfId="0" applyBorder="1" applyAlignment="1">
      <alignment horizontal="center" vertical="center" textRotation="90"/>
    </xf>
    <xf numFmtId="0" fontId="0" fillId="0" borderId="71" xfId="0" applyBorder="1"/>
    <xf numFmtId="0" fontId="0" fillId="0" borderId="75" xfId="0" applyBorder="1"/>
    <xf numFmtId="0" fontId="0" fillId="0" borderId="84" xfId="0" applyBorder="1"/>
    <xf numFmtId="0" fontId="4" fillId="7" borderId="28" xfId="0" applyFont="1" applyFill="1" applyBorder="1" applyAlignment="1">
      <alignment horizontal="center" vertical="center"/>
    </xf>
    <xf numFmtId="0" fontId="0" fillId="0" borderId="61" xfId="0" applyBorder="1"/>
    <xf numFmtId="0" fontId="0" fillId="0" borderId="37" xfId="0" applyBorder="1" applyAlignment="1">
      <alignment horizontal="center"/>
    </xf>
    <xf numFmtId="0" fontId="1" fillId="6" borderId="35" xfId="0" applyFont="1" applyFill="1" applyBorder="1" applyAlignment="1">
      <alignment horizontal="left" vertical="center"/>
    </xf>
    <xf numFmtId="0" fontId="1" fillId="6" borderId="38" xfId="0" applyFont="1" applyFill="1" applyBorder="1" applyAlignment="1">
      <alignment horizontal="left" vertical="center"/>
    </xf>
    <xf numFmtId="0" fontId="0" fillId="0" borderId="86" xfId="0" applyBorder="1" applyAlignment="1">
      <alignment horizontal="center" vertical="center"/>
    </xf>
    <xf numFmtId="0" fontId="0" fillId="9" borderId="35" xfId="0" applyFill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14" fontId="0" fillId="4" borderId="2" xfId="0" applyNumberFormat="1" applyFill="1" applyBorder="1" applyAlignment="1">
      <alignment vertical="center"/>
    </xf>
    <xf numFmtId="167" fontId="0" fillId="0" borderId="2" xfId="0" applyNumberFormat="1" applyBorder="1" applyAlignment="1">
      <alignment horizontal="center" vertical="center" wrapText="1"/>
    </xf>
    <xf numFmtId="167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2">
    <cellStyle name="Обычный" xfId="0" builtinId="0"/>
    <cellStyle name="Процентный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FFC000"/>
  </sheetPr>
  <dimension ref="A1:AQ35"/>
  <sheetViews>
    <sheetView zoomScaleNormal="100" workbookViewId="0">
      <pane xSplit="1" topLeftCell="B1" activePane="topRight" state="frozen"/>
      <selection pane="topRight" activeCell="F16" sqref="F16"/>
    </sheetView>
  </sheetViews>
  <sheetFormatPr defaultRowHeight="14.4" x14ac:dyDescent="0.3"/>
  <cols>
    <col min="1" max="1" width="12.21875" style="4" customWidth="1"/>
    <col min="2" max="2" width="5.77734375" style="3" customWidth="1"/>
    <col min="3" max="3" width="7" style="3" customWidth="1"/>
    <col min="4" max="4" width="2.77734375" style="3" customWidth="1"/>
    <col min="5" max="5" width="5.77734375" style="3" customWidth="1"/>
    <col min="6" max="6" width="6.44140625" style="3" customWidth="1"/>
    <col min="7" max="7" width="2.77734375" style="3" customWidth="1"/>
    <col min="8" max="8" width="5.77734375" style="3" customWidth="1"/>
    <col min="9" max="9" width="5.88671875" style="3" customWidth="1"/>
    <col min="10" max="10" width="2.77734375" style="3" customWidth="1"/>
    <col min="11" max="11" width="5.77734375" style="3" customWidth="1"/>
    <col min="12" max="12" width="5.88671875" style="3" customWidth="1"/>
    <col min="13" max="13" width="2.77734375" style="3" customWidth="1"/>
    <col min="14" max="14" width="5.77734375" style="3" customWidth="1"/>
    <col min="15" max="15" width="5.88671875" style="3" customWidth="1"/>
    <col min="16" max="16" width="2.77734375" style="3" customWidth="1"/>
    <col min="17" max="17" width="5.77734375" style="3" customWidth="1"/>
    <col min="18" max="18" width="5.88671875" style="3" customWidth="1"/>
    <col min="19" max="19" width="2.77734375" style="3" customWidth="1"/>
    <col min="20" max="20" width="5.77734375" style="3" customWidth="1"/>
    <col min="21" max="21" width="6.21875" style="3" customWidth="1"/>
    <col min="22" max="22" width="2.77734375" style="3" customWidth="1"/>
    <col min="23" max="23" width="5.77734375" style="3" customWidth="1"/>
    <col min="24" max="24" width="5.88671875" style="3" customWidth="1"/>
    <col min="25" max="25" width="2.77734375" style="3" customWidth="1"/>
    <col min="26" max="26" width="5.77734375" style="3" customWidth="1"/>
    <col min="27" max="27" width="5.88671875" style="3" customWidth="1"/>
    <col min="28" max="28" width="2.77734375" style="3" customWidth="1"/>
    <col min="29" max="29" width="5.77734375" style="3" customWidth="1"/>
    <col min="30" max="30" width="5.88671875" style="3" customWidth="1"/>
    <col min="31" max="31" width="2.77734375" style="3" customWidth="1"/>
    <col min="32" max="32" width="5.77734375" style="3" customWidth="1"/>
    <col min="33" max="33" width="5.88671875" style="3" customWidth="1"/>
    <col min="34" max="34" width="2.77734375" style="3" customWidth="1"/>
    <col min="35" max="35" width="5.88671875" style="3" customWidth="1"/>
    <col min="36" max="36" width="6.109375" style="3" customWidth="1"/>
    <col min="37" max="37" width="2.77734375" style="3" customWidth="1"/>
    <col min="38" max="38" width="8.109375" style="3" customWidth="1"/>
    <col min="39" max="39" width="3.33203125" style="3" customWidth="1"/>
    <col min="40" max="40" width="9.21875" style="3" customWidth="1"/>
    <col min="41" max="41" width="8.88671875" style="3" customWidth="1"/>
    <col min="42" max="42" width="9.44140625" style="3" customWidth="1"/>
    <col min="43" max="119" width="8.88671875" style="3" customWidth="1"/>
    <col min="120" max="16384" width="8.88671875" style="3"/>
  </cols>
  <sheetData>
    <row r="1" spans="1:39" ht="15" customHeight="1" thickBot="1" x14ac:dyDescent="0.35">
      <c r="A1" s="12"/>
      <c r="B1" s="154">
        <v>2025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95"/>
      <c r="AM1" s="17"/>
    </row>
    <row r="2" spans="1:39" ht="15" customHeight="1" thickBot="1" x14ac:dyDescent="0.35">
      <c r="A2" s="35"/>
      <c r="B2" s="14" t="s">
        <v>2</v>
      </c>
      <c r="C2" s="15" t="s">
        <v>3</v>
      </c>
      <c r="D2" s="16" t="s">
        <v>4</v>
      </c>
      <c r="E2" s="14" t="s">
        <v>5</v>
      </c>
      <c r="F2" s="15" t="s">
        <v>3</v>
      </c>
      <c r="G2" s="16" t="s">
        <v>4</v>
      </c>
      <c r="H2" s="14" t="s">
        <v>6</v>
      </c>
      <c r="I2" s="15" t="s">
        <v>3</v>
      </c>
      <c r="J2" s="16" t="s">
        <v>4</v>
      </c>
      <c r="K2" s="14" t="s">
        <v>7</v>
      </c>
      <c r="L2" s="15" t="s">
        <v>3</v>
      </c>
      <c r="M2" s="16" t="s">
        <v>4</v>
      </c>
      <c r="N2" s="14" t="s">
        <v>8</v>
      </c>
      <c r="O2" s="15" t="s">
        <v>3</v>
      </c>
      <c r="P2" s="16" t="s">
        <v>4</v>
      </c>
      <c r="Q2" s="14" t="s">
        <v>9</v>
      </c>
      <c r="R2" s="15" t="s">
        <v>3</v>
      </c>
      <c r="S2" s="16" t="s">
        <v>4</v>
      </c>
      <c r="T2" s="14" t="s">
        <v>10</v>
      </c>
      <c r="U2" s="15" t="s">
        <v>3</v>
      </c>
      <c r="V2" s="16" t="s">
        <v>4</v>
      </c>
      <c r="W2" s="14" t="s">
        <v>11</v>
      </c>
      <c r="X2" s="15" t="s">
        <v>3</v>
      </c>
      <c r="Y2" s="16" t="s">
        <v>4</v>
      </c>
      <c r="Z2" s="14" t="s">
        <v>12</v>
      </c>
      <c r="AA2" s="15" t="s">
        <v>3</v>
      </c>
      <c r="AB2" s="16" t="s">
        <v>4</v>
      </c>
      <c r="AC2" s="14" t="s">
        <v>13</v>
      </c>
      <c r="AD2" s="15" t="s">
        <v>3</v>
      </c>
      <c r="AE2" s="16" t="s">
        <v>4</v>
      </c>
      <c r="AF2" s="14" t="s">
        <v>14</v>
      </c>
      <c r="AG2" s="15" t="s">
        <v>3</v>
      </c>
      <c r="AH2" s="16" t="s">
        <v>4</v>
      </c>
      <c r="AI2" s="14" t="s">
        <v>15</v>
      </c>
      <c r="AJ2" s="15" t="s">
        <v>3</v>
      </c>
      <c r="AK2" s="16" t="s">
        <v>4</v>
      </c>
      <c r="AL2" s="127"/>
      <c r="AM2" s="6"/>
    </row>
    <row r="3" spans="1:39" ht="15" customHeight="1" thickBot="1" x14ac:dyDescent="0.35">
      <c r="A3" s="33" t="s">
        <v>16</v>
      </c>
      <c r="B3" s="23">
        <f>SUM(B4:B11)</f>
        <v>3720</v>
      </c>
      <c r="C3" s="29"/>
      <c r="D3" s="21"/>
      <c r="E3" s="23">
        <f>SUM(E4:E11)</f>
        <v>7280</v>
      </c>
      <c r="F3" s="29"/>
      <c r="G3" s="21"/>
      <c r="H3" s="23">
        <f>SUM(H4:H11)</f>
        <v>5250</v>
      </c>
      <c r="I3" s="29"/>
      <c r="J3" s="21"/>
      <c r="K3" s="23">
        <f>SUM(K4:K11)</f>
        <v>5100</v>
      </c>
      <c r="L3" s="29"/>
      <c r="M3" s="21"/>
      <c r="N3" s="23">
        <f>SUM(N4:N11)</f>
        <v>6450</v>
      </c>
      <c r="O3" s="29"/>
      <c r="P3" s="21"/>
      <c r="Q3" s="23">
        <f>SUM(Q4:Q11)</f>
        <v>8000</v>
      </c>
      <c r="R3" s="29"/>
      <c r="S3" s="21"/>
      <c r="T3" s="23">
        <f>SUM(T4:T11)</f>
        <v>2900</v>
      </c>
      <c r="U3" s="29"/>
      <c r="V3" s="21"/>
      <c r="W3" s="23">
        <f>SUM(W4:W11)</f>
        <v>2800</v>
      </c>
      <c r="X3" s="29"/>
      <c r="Y3" s="21"/>
      <c r="Z3" s="23">
        <f>SUM(Z4:Z11)</f>
        <v>7150</v>
      </c>
      <c r="AA3" s="29"/>
      <c r="AB3" s="21"/>
      <c r="AC3" s="23">
        <f>SUM(AC4:AC11)</f>
        <v>2900</v>
      </c>
      <c r="AD3" s="29"/>
      <c r="AE3" s="21"/>
      <c r="AF3" s="23">
        <f>SUM(AF4:AF11)</f>
        <v>3740</v>
      </c>
      <c r="AG3" s="29"/>
      <c r="AH3" s="21"/>
      <c r="AI3" s="23">
        <f>SUM(AI4:AI11)</f>
        <v>6950</v>
      </c>
      <c r="AJ3" s="29"/>
      <c r="AK3" s="21"/>
      <c r="AL3" s="96">
        <f t="shared" ref="AL3:AL11" si="0">AVERAGE(B3,E3,H3,K3,N3,Q3,T3,W3,Z3,AC3,AF3,AI3)</f>
        <v>5186.666666666667</v>
      </c>
      <c r="AM3" s="13"/>
    </row>
    <row r="4" spans="1:39" x14ac:dyDescent="0.3">
      <c r="A4" s="31" t="s">
        <v>17</v>
      </c>
      <c r="B4" s="24">
        <v>1900</v>
      </c>
      <c r="C4" s="26"/>
      <c r="D4" s="18"/>
      <c r="E4" s="24">
        <v>4000</v>
      </c>
      <c r="F4" s="26"/>
      <c r="G4" s="18"/>
      <c r="H4" s="24">
        <v>4000</v>
      </c>
      <c r="I4" s="26"/>
      <c r="J4" s="18"/>
      <c r="K4" s="24">
        <v>3500</v>
      </c>
      <c r="L4" s="26"/>
      <c r="M4" s="18"/>
      <c r="N4" s="24">
        <v>4000</v>
      </c>
      <c r="O4" s="26"/>
      <c r="P4" s="18"/>
      <c r="Q4" s="24">
        <v>5500</v>
      </c>
      <c r="R4" s="26"/>
      <c r="S4" s="18"/>
      <c r="T4" s="24">
        <v>1000</v>
      </c>
      <c r="U4" s="26"/>
      <c r="V4" s="18"/>
      <c r="W4" s="24">
        <v>1000</v>
      </c>
      <c r="X4" s="26"/>
      <c r="Y4" s="18"/>
      <c r="Z4" s="24">
        <v>2500</v>
      </c>
      <c r="AA4" s="26"/>
      <c r="AB4" s="18"/>
      <c r="AC4" s="24">
        <v>1800</v>
      </c>
      <c r="AD4" s="26"/>
      <c r="AE4" s="18"/>
      <c r="AF4" s="24">
        <v>3000</v>
      </c>
      <c r="AG4" s="26"/>
      <c r="AH4" s="18"/>
      <c r="AI4" s="24">
        <v>3000</v>
      </c>
      <c r="AJ4" s="26"/>
      <c r="AK4" s="18"/>
      <c r="AL4" s="97">
        <f t="shared" si="0"/>
        <v>2933.3333333333335</v>
      </c>
      <c r="AM4" s="13"/>
    </row>
    <row r="5" spans="1:39" x14ac:dyDescent="0.3">
      <c r="A5" s="32" t="s">
        <v>121</v>
      </c>
      <c r="B5" s="25">
        <v>120</v>
      </c>
      <c r="C5" s="27"/>
      <c r="D5" s="19"/>
      <c r="E5" s="25">
        <v>180</v>
      </c>
      <c r="F5" s="27"/>
      <c r="G5" s="19"/>
      <c r="H5" s="25">
        <v>350</v>
      </c>
      <c r="I5" s="27"/>
      <c r="J5" s="19"/>
      <c r="K5" s="25">
        <v>200</v>
      </c>
      <c r="L5" s="27"/>
      <c r="M5" s="19"/>
      <c r="N5" s="25">
        <v>150</v>
      </c>
      <c r="O5" s="27"/>
      <c r="P5" s="19"/>
      <c r="Q5" s="25">
        <v>100</v>
      </c>
      <c r="R5" s="27"/>
      <c r="S5" s="19"/>
      <c r="T5" s="25">
        <v>400</v>
      </c>
      <c r="U5" s="27"/>
      <c r="V5" s="19"/>
      <c r="W5" s="25">
        <v>150</v>
      </c>
      <c r="X5" s="27"/>
      <c r="Y5" s="19"/>
      <c r="Z5" s="25">
        <v>700</v>
      </c>
      <c r="AA5" s="27"/>
      <c r="AB5" s="19"/>
      <c r="AC5" s="25">
        <v>400</v>
      </c>
      <c r="AD5" s="27"/>
      <c r="AE5" s="19"/>
      <c r="AF5" s="25">
        <v>90</v>
      </c>
      <c r="AG5" s="27"/>
      <c r="AH5" s="19"/>
      <c r="AI5" s="25">
        <f>50</f>
        <v>50</v>
      </c>
      <c r="AJ5" s="27"/>
      <c r="AK5" s="19"/>
      <c r="AL5" s="97">
        <f t="shared" si="0"/>
        <v>240.83333333333334</v>
      </c>
      <c r="AM5" s="13"/>
    </row>
    <row r="6" spans="1:39" x14ac:dyDescent="0.3">
      <c r="A6" s="33" t="s">
        <v>18</v>
      </c>
      <c r="B6" s="25">
        <v>400</v>
      </c>
      <c r="C6" s="27"/>
      <c r="D6" s="19"/>
      <c r="E6" s="25">
        <v>300</v>
      </c>
      <c r="F6" s="27"/>
      <c r="G6" s="19"/>
      <c r="H6" s="25">
        <v>400</v>
      </c>
      <c r="I6" s="27"/>
      <c r="J6" s="19"/>
      <c r="K6" s="25">
        <v>400</v>
      </c>
      <c r="L6" s="27"/>
      <c r="M6" s="19"/>
      <c r="N6" s="25">
        <v>800</v>
      </c>
      <c r="O6" s="27"/>
      <c r="P6" s="19"/>
      <c r="Q6" s="25">
        <v>0</v>
      </c>
      <c r="R6" s="27"/>
      <c r="S6" s="19"/>
      <c r="T6" s="25">
        <v>300</v>
      </c>
      <c r="U6" s="27"/>
      <c r="V6" s="19"/>
      <c r="W6" s="25">
        <v>350</v>
      </c>
      <c r="X6" s="27"/>
      <c r="Y6" s="19"/>
      <c r="Z6" s="25">
        <v>400</v>
      </c>
      <c r="AA6" s="27"/>
      <c r="AB6" s="19"/>
      <c r="AC6" s="25">
        <v>400</v>
      </c>
      <c r="AD6" s="27"/>
      <c r="AE6" s="19"/>
      <c r="AF6" s="25">
        <v>350</v>
      </c>
      <c r="AG6" s="27"/>
      <c r="AH6" s="19"/>
      <c r="AI6" s="25">
        <v>0</v>
      </c>
      <c r="AJ6" s="27"/>
      <c r="AK6" s="19"/>
      <c r="AL6" s="97">
        <f t="shared" si="0"/>
        <v>341.66666666666669</v>
      </c>
      <c r="AM6" s="13"/>
    </row>
    <row r="7" spans="1:39" x14ac:dyDescent="0.3">
      <c r="A7" s="31" t="s">
        <v>19</v>
      </c>
      <c r="B7" s="25">
        <v>400</v>
      </c>
      <c r="C7" s="27"/>
      <c r="D7" s="19"/>
      <c r="E7" s="25">
        <v>200</v>
      </c>
      <c r="F7" s="27"/>
      <c r="G7" s="19"/>
      <c r="H7" s="25">
        <v>200</v>
      </c>
      <c r="I7" s="27"/>
      <c r="J7" s="19"/>
      <c r="K7" s="25">
        <v>200</v>
      </c>
      <c r="L7" s="27"/>
      <c r="M7" s="19"/>
      <c r="N7" s="25">
        <v>200</v>
      </c>
      <c r="O7" s="27"/>
      <c r="P7" s="19"/>
      <c r="Q7" s="25">
        <v>200</v>
      </c>
      <c r="R7" s="27"/>
      <c r="S7" s="19"/>
      <c r="T7" s="25">
        <v>200</v>
      </c>
      <c r="U7" s="27"/>
      <c r="V7" s="19"/>
      <c r="W7" s="25">
        <v>200</v>
      </c>
      <c r="X7" s="27"/>
      <c r="Y7" s="19"/>
      <c r="Z7" s="25">
        <v>200</v>
      </c>
      <c r="AA7" s="27"/>
      <c r="AB7" s="19"/>
      <c r="AC7" s="25">
        <v>200</v>
      </c>
      <c r="AD7" s="27"/>
      <c r="AE7" s="19"/>
      <c r="AF7" s="25">
        <v>200</v>
      </c>
      <c r="AG7" s="27"/>
      <c r="AH7" s="19"/>
      <c r="AI7" s="25">
        <v>200</v>
      </c>
      <c r="AJ7" s="27"/>
      <c r="AK7" s="19"/>
      <c r="AL7" s="97">
        <f t="shared" si="0"/>
        <v>216.66666666666666</v>
      </c>
      <c r="AM7" s="13"/>
    </row>
    <row r="8" spans="1:39" x14ac:dyDescent="0.3">
      <c r="A8" s="31" t="s">
        <v>119</v>
      </c>
      <c r="B8" s="25">
        <v>650</v>
      </c>
      <c r="C8" s="27"/>
      <c r="D8" s="19"/>
      <c r="E8" s="25">
        <v>0</v>
      </c>
      <c r="F8" s="27"/>
      <c r="G8" s="19"/>
      <c r="H8" s="25">
        <v>100</v>
      </c>
      <c r="I8" s="27"/>
      <c r="J8" s="19"/>
      <c r="K8" s="25">
        <v>0</v>
      </c>
      <c r="L8" s="27"/>
      <c r="M8" s="19"/>
      <c r="N8" s="25">
        <v>0</v>
      </c>
      <c r="O8" s="27"/>
      <c r="P8" s="19"/>
      <c r="Q8" s="25">
        <v>900</v>
      </c>
      <c r="R8" s="27"/>
      <c r="S8" s="19"/>
      <c r="T8" s="25">
        <v>600</v>
      </c>
      <c r="U8" s="27"/>
      <c r="V8" s="19"/>
      <c r="W8" s="25">
        <v>0</v>
      </c>
      <c r="X8" s="27"/>
      <c r="Y8" s="19"/>
      <c r="Z8" s="25">
        <v>350</v>
      </c>
      <c r="AA8" s="27"/>
      <c r="AB8" s="19"/>
      <c r="AC8" s="25">
        <v>0</v>
      </c>
      <c r="AD8" s="27"/>
      <c r="AE8" s="19"/>
      <c r="AF8" s="25">
        <v>0</v>
      </c>
      <c r="AG8" s="27"/>
      <c r="AH8" s="19"/>
      <c r="AI8" s="25">
        <v>400</v>
      </c>
      <c r="AJ8" s="27"/>
      <c r="AK8" s="19"/>
      <c r="AL8" s="97">
        <f t="shared" si="0"/>
        <v>250</v>
      </c>
      <c r="AM8" s="13"/>
    </row>
    <row r="9" spans="1:39" x14ac:dyDescent="0.3">
      <c r="A9" s="32" t="s">
        <v>20</v>
      </c>
      <c r="B9" s="25">
        <v>0</v>
      </c>
      <c r="C9" s="27"/>
      <c r="D9" s="19"/>
      <c r="E9" s="25">
        <v>2500</v>
      </c>
      <c r="F9" s="27"/>
      <c r="G9" s="19"/>
      <c r="H9" s="25">
        <v>0</v>
      </c>
      <c r="I9" s="27"/>
      <c r="J9" s="19"/>
      <c r="K9" s="25">
        <v>700</v>
      </c>
      <c r="L9" s="27"/>
      <c r="M9" s="19"/>
      <c r="N9" s="25">
        <v>1000</v>
      </c>
      <c r="O9" s="27"/>
      <c r="P9" s="19"/>
      <c r="Q9" s="25">
        <v>1200</v>
      </c>
      <c r="R9" s="27"/>
      <c r="S9" s="19"/>
      <c r="T9" s="25">
        <v>300</v>
      </c>
      <c r="U9" s="27"/>
      <c r="V9" s="19"/>
      <c r="W9" s="25">
        <v>900</v>
      </c>
      <c r="X9" s="27"/>
      <c r="Y9" s="19"/>
      <c r="Z9" s="25">
        <v>2500</v>
      </c>
      <c r="AA9" s="27"/>
      <c r="AB9" s="19"/>
      <c r="AC9" s="25">
        <v>0</v>
      </c>
      <c r="AD9" s="27"/>
      <c r="AE9" s="19"/>
      <c r="AF9" s="25">
        <v>0</v>
      </c>
      <c r="AG9" s="27"/>
      <c r="AH9" s="19"/>
      <c r="AI9" s="25">
        <v>2700</v>
      </c>
      <c r="AJ9" s="27"/>
      <c r="AK9" s="19"/>
      <c r="AL9" s="97">
        <f t="shared" si="0"/>
        <v>983.33333333333337</v>
      </c>
      <c r="AM9" s="13"/>
    </row>
    <row r="10" spans="1:39" x14ac:dyDescent="0.3">
      <c r="A10" s="32" t="s">
        <v>21</v>
      </c>
      <c r="B10" s="25">
        <v>150</v>
      </c>
      <c r="C10" s="27"/>
      <c r="D10" s="19"/>
      <c r="E10" s="25">
        <v>0</v>
      </c>
      <c r="F10" s="27"/>
      <c r="G10" s="19"/>
      <c r="H10" s="25">
        <v>100</v>
      </c>
      <c r="I10" s="27"/>
      <c r="J10" s="19"/>
      <c r="K10" s="25">
        <v>0</v>
      </c>
      <c r="L10" s="27"/>
      <c r="M10" s="19"/>
      <c r="N10" s="25">
        <v>300</v>
      </c>
      <c r="O10" s="27"/>
      <c r="P10" s="19"/>
      <c r="Q10" s="25">
        <v>0</v>
      </c>
      <c r="R10" s="27"/>
      <c r="S10" s="19"/>
      <c r="T10" s="25">
        <v>0</v>
      </c>
      <c r="U10" s="27"/>
      <c r="V10" s="19"/>
      <c r="W10" s="25">
        <v>100</v>
      </c>
      <c r="X10" s="27"/>
      <c r="Y10" s="19"/>
      <c r="Z10" s="25">
        <v>400</v>
      </c>
      <c r="AA10" s="27"/>
      <c r="AB10" s="19"/>
      <c r="AC10" s="25">
        <v>0</v>
      </c>
      <c r="AD10" s="27"/>
      <c r="AE10" s="19"/>
      <c r="AF10" s="25">
        <v>0</v>
      </c>
      <c r="AG10" s="27"/>
      <c r="AH10" s="19"/>
      <c r="AI10" s="25">
        <v>500</v>
      </c>
      <c r="AJ10" s="27"/>
      <c r="AK10" s="19"/>
      <c r="AL10" s="97">
        <f t="shared" si="0"/>
        <v>129.16666666666666</v>
      </c>
      <c r="AM10" s="13"/>
    </row>
    <row r="11" spans="1:39" ht="15" thickBot="1" x14ac:dyDescent="0.35">
      <c r="A11" s="34" t="s">
        <v>120</v>
      </c>
      <c r="B11" s="30">
        <v>100</v>
      </c>
      <c r="C11" s="28"/>
      <c r="D11" s="20"/>
      <c r="E11" s="22">
        <v>100</v>
      </c>
      <c r="F11" s="28"/>
      <c r="G11" s="20"/>
      <c r="H11" s="22">
        <v>100</v>
      </c>
      <c r="I11" s="28"/>
      <c r="J11" s="20"/>
      <c r="K11" s="22">
        <v>100</v>
      </c>
      <c r="L11" s="28"/>
      <c r="M11" s="20"/>
      <c r="N11" s="22">
        <v>0</v>
      </c>
      <c r="O11" s="28"/>
      <c r="P11" s="20"/>
      <c r="Q11" s="22">
        <v>100</v>
      </c>
      <c r="R11" s="28"/>
      <c r="S11" s="20"/>
      <c r="T11" s="22">
        <v>100</v>
      </c>
      <c r="U11" s="28"/>
      <c r="V11" s="20"/>
      <c r="W11" s="22">
        <v>100</v>
      </c>
      <c r="X11" s="28"/>
      <c r="Y11" s="20"/>
      <c r="Z11" s="22">
        <v>100</v>
      </c>
      <c r="AA11" s="28"/>
      <c r="AB11" s="20"/>
      <c r="AC11" s="22">
        <v>100</v>
      </c>
      <c r="AD11" s="28"/>
      <c r="AE11" s="20"/>
      <c r="AF11" s="22">
        <v>100</v>
      </c>
      <c r="AG11" s="28"/>
      <c r="AH11" s="20"/>
      <c r="AI11" s="22">
        <v>100</v>
      </c>
      <c r="AJ11" s="28"/>
      <c r="AK11" s="20"/>
      <c r="AL11" s="98">
        <f t="shared" si="0"/>
        <v>91.666666666666671</v>
      </c>
      <c r="AM11" s="13"/>
    </row>
    <row r="12" spans="1:39" x14ac:dyDescent="0.3">
      <c r="A12" s="179" t="s">
        <v>23</v>
      </c>
      <c r="B12" s="24"/>
      <c r="C12" s="26"/>
      <c r="D12" s="18"/>
      <c r="E12" s="24"/>
      <c r="F12" s="26"/>
      <c r="G12" s="18"/>
      <c r="H12" s="24"/>
      <c r="I12" s="26"/>
      <c r="J12" s="18"/>
      <c r="K12" s="24"/>
      <c r="L12" s="26"/>
      <c r="M12" s="18"/>
      <c r="N12" s="24"/>
      <c r="O12" s="26"/>
      <c r="P12" s="18"/>
      <c r="Q12" s="24"/>
      <c r="R12" s="26"/>
      <c r="S12" s="18"/>
      <c r="T12" s="24"/>
      <c r="U12" s="26"/>
      <c r="V12" s="18"/>
      <c r="W12" s="24"/>
      <c r="X12" s="26"/>
      <c r="Y12" s="18"/>
      <c r="Z12" s="24"/>
      <c r="AA12" s="26"/>
      <c r="AB12" s="18"/>
      <c r="AC12" s="24"/>
      <c r="AD12" s="26"/>
      <c r="AE12" s="18"/>
      <c r="AF12" s="24"/>
      <c r="AG12" s="26"/>
      <c r="AH12" s="18"/>
      <c r="AI12" s="24"/>
      <c r="AJ12" s="26"/>
      <c r="AK12" s="18"/>
      <c r="AL12" s="97"/>
      <c r="AM12" s="13"/>
    </row>
    <row r="13" spans="1:39" ht="15" thickBot="1" x14ac:dyDescent="0.35">
      <c r="A13" s="180"/>
      <c r="B13" s="30"/>
      <c r="C13" s="28"/>
      <c r="D13" s="20"/>
      <c r="E13" s="22"/>
      <c r="F13" s="28"/>
      <c r="G13" s="20"/>
      <c r="H13" s="22"/>
      <c r="I13" s="28"/>
      <c r="J13" s="20"/>
      <c r="K13" s="22"/>
      <c r="L13" s="28"/>
      <c r="M13" s="20"/>
      <c r="N13" s="22"/>
      <c r="O13" s="28"/>
      <c r="P13" s="20"/>
      <c r="Q13" s="22"/>
      <c r="R13" s="28"/>
      <c r="S13" s="20"/>
      <c r="T13" s="22"/>
      <c r="U13" s="28"/>
      <c r="V13" s="20"/>
      <c r="W13" s="22"/>
      <c r="X13" s="28"/>
      <c r="Y13" s="20"/>
      <c r="Z13" s="22"/>
      <c r="AA13" s="28"/>
      <c r="AB13" s="20"/>
      <c r="AC13" s="22"/>
      <c r="AD13" s="28"/>
      <c r="AE13" s="20"/>
      <c r="AF13" s="22"/>
      <c r="AG13" s="28"/>
      <c r="AH13" s="20"/>
      <c r="AI13" s="22"/>
      <c r="AJ13" s="28"/>
      <c r="AK13" s="20"/>
      <c r="AL13" s="98"/>
      <c r="AM13" s="13"/>
    </row>
    <row r="14" spans="1:39" ht="15" customHeight="1" thickBot="1" x14ac:dyDescent="0.35">
      <c r="A14" s="128" t="s">
        <v>122</v>
      </c>
      <c r="B14" s="39">
        <v>2300</v>
      </c>
      <c r="C14" s="36"/>
      <c r="D14" s="37"/>
      <c r="E14" s="39">
        <v>200</v>
      </c>
      <c r="F14" s="36"/>
      <c r="G14" s="37"/>
      <c r="H14" s="39">
        <v>700</v>
      </c>
      <c r="I14" s="36"/>
      <c r="J14" s="37"/>
      <c r="K14" s="39">
        <v>7200</v>
      </c>
      <c r="L14" s="36"/>
      <c r="M14" s="37"/>
      <c r="N14" s="39">
        <v>2700</v>
      </c>
      <c r="O14" s="36"/>
      <c r="P14" s="37"/>
      <c r="Q14" s="39">
        <v>3000</v>
      </c>
      <c r="R14" s="36"/>
      <c r="S14" s="37"/>
      <c r="T14" s="39">
        <v>12000</v>
      </c>
      <c r="U14" s="36"/>
      <c r="V14" s="37"/>
      <c r="W14" s="39">
        <v>3000</v>
      </c>
      <c r="X14" s="36"/>
      <c r="Y14" s="37"/>
      <c r="Z14" s="39">
        <v>0</v>
      </c>
      <c r="AA14" s="36"/>
      <c r="AB14" s="37"/>
      <c r="AC14" s="39">
        <v>1000</v>
      </c>
      <c r="AD14" s="36"/>
      <c r="AE14" s="37"/>
      <c r="AF14" s="39">
        <v>0</v>
      </c>
      <c r="AG14" s="36"/>
      <c r="AH14" s="37"/>
      <c r="AI14" s="39">
        <v>5000</v>
      </c>
      <c r="AJ14" s="36"/>
      <c r="AK14" s="38"/>
      <c r="AL14" s="99">
        <f>AVERAGE(B14:AI14)</f>
        <v>3091.6666666666665</v>
      </c>
      <c r="AM14" s="17"/>
    </row>
    <row r="15" spans="1:39" x14ac:dyDescent="0.3">
      <c r="A15" s="3"/>
      <c r="AM15" s="6"/>
    </row>
    <row r="16" spans="1:39" x14ac:dyDescent="0.3">
      <c r="A16" s="3"/>
      <c r="C16" s="4"/>
      <c r="AM16" s="6"/>
    </row>
    <row r="17" spans="1:43" x14ac:dyDescent="0.3">
      <c r="A17" s="3"/>
      <c r="AM17" s="6"/>
    </row>
    <row r="18" spans="1:43" ht="15" customHeight="1" thickBot="1" x14ac:dyDescent="0.3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6"/>
    </row>
    <row r="19" spans="1:43" ht="15" customHeight="1" thickBot="1" x14ac:dyDescent="0.35">
      <c r="A19" s="41"/>
      <c r="B19" s="157">
        <v>2024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9"/>
      <c r="AL19" s="127"/>
      <c r="AM19" s="17"/>
    </row>
    <row r="20" spans="1:43" ht="15" customHeight="1" thickBot="1" x14ac:dyDescent="0.35">
      <c r="A20" s="35"/>
      <c r="B20" s="14" t="s">
        <v>2</v>
      </c>
      <c r="C20" s="15" t="s">
        <v>3</v>
      </c>
      <c r="D20" s="16" t="s">
        <v>4</v>
      </c>
      <c r="E20" s="14" t="s">
        <v>5</v>
      </c>
      <c r="F20" s="15" t="s">
        <v>3</v>
      </c>
      <c r="G20" s="16" t="s">
        <v>4</v>
      </c>
      <c r="H20" s="14" t="s">
        <v>6</v>
      </c>
      <c r="I20" s="15" t="s">
        <v>3</v>
      </c>
      <c r="J20" s="16" t="s">
        <v>4</v>
      </c>
      <c r="K20" s="14" t="s">
        <v>7</v>
      </c>
      <c r="L20" s="15" t="s">
        <v>3</v>
      </c>
      <c r="M20" s="16" t="s">
        <v>4</v>
      </c>
      <c r="N20" s="14" t="s">
        <v>8</v>
      </c>
      <c r="O20" s="15" t="s">
        <v>3</v>
      </c>
      <c r="P20" s="16" t="s">
        <v>4</v>
      </c>
      <c r="Q20" s="14" t="s">
        <v>9</v>
      </c>
      <c r="R20" s="15" t="s">
        <v>3</v>
      </c>
      <c r="S20" s="16" t="s">
        <v>4</v>
      </c>
      <c r="T20" s="14" t="s">
        <v>10</v>
      </c>
      <c r="U20" s="15" t="s">
        <v>3</v>
      </c>
      <c r="V20" s="16" t="s">
        <v>4</v>
      </c>
      <c r="W20" s="14" t="s">
        <v>11</v>
      </c>
      <c r="X20" s="15" t="s">
        <v>3</v>
      </c>
      <c r="Y20" s="16" t="s">
        <v>4</v>
      </c>
      <c r="Z20" s="14" t="s">
        <v>12</v>
      </c>
      <c r="AA20" s="15" t="s">
        <v>3</v>
      </c>
      <c r="AB20" s="16" t="s">
        <v>4</v>
      </c>
      <c r="AC20" s="14" t="s">
        <v>13</v>
      </c>
      <c r="AD20" s="15" t="s">
        <v>3</v>
      </c>
      <c r="AE20" s="16" t="s">
        <v>4</v>
      </c>
      <c r="AF20" s="14" t="s">
        <v>14</v>
      </c>
      <c r="AG20" s="15" t="s">
        <v>3</v>
      </c>
      <c r="AH20" s="16" t="s">
        <v>4</v>
      </c>
      <c r="AI20" s="14" t="s">
        <v>15</v>
      </c>
      <c r="AJ20" s="15" t="s">
        <v>3</v>
      </c>
      <c r="AK20" s="16" t="s">
        <v>4</v>
      </c>
      <c r="AL20" s="127"/>
      <c r="AM20" s="6"/>
    </row>
    <row r="21" spans="1:43" ht="15" customHeight="1" thickBot="1" x14ac:dyDescent="0.35">
      <c r="A21" s="33" t="s">
        <v>16</v>
      </c>
      <c r="B21" s="23">
        <f>SUM(B22:B29)</f>
        <v>5950</v>
      </c>
      <c r="C21" s="29"/>
      <c r="D21" s="21"/>
      <c r="E21" s="23">
        <f>SUM(E22:E29)</f>
        <v>3500</v>
      </c>
      <c r="F21" s="29"/>
      <c r="G21" s="21"/>
      <c r="H21" s="23">
        <f>SUM(H22:H29)</f>
        <v>4050</v>
      </c>
      <c r="I21" s="29"/>
      <c r="J21" s="21"/>
      <c r="K21" s="23">
        <f>SUM(K22:K29)</f>
        <v>7810</v>
      </c>
      <c r="L21" s="29"/>
      <c r="M21" s="21"/>
      <c r="N21" s="23">
        <f>SUM(N22:N29)</f>
        <v>5520</v>
      </c>
      <c r="O21" s="29"/>
      <c r="P21" s="21"/>
      <c r="Q21" s="23">
        <f>SUM(Q22:Q29)</f>
        <v>7870</v>
      </c>
      <c r="R21" s="29"/>
      <c r="S21" s="21"/>
      <c r="T21" s="23">
        <f>SUM(T22:T29)</f>
        <v>7470</v>
      </c>
      <c r="U21" s="29"/>
      <c r="V21" s="21"/>
      <c r="W21" s="23">
        <f>SUM(W22:W29)</f>
        <v>3400</v>
      </c>
      <c r="X21" s="29"/>
      <c r="Y21" s="21"/>
      <c r="Z21" s="23">
        <f>SUM(Z22:Z29)</f>
        <v>9070</v>
      </c>
      <c r="AA21" s="29"/>
      <c r="AB21" s="21"/>
      <c r="AC21" s="23">
        <f>SUM(AC22:AC29)</f>
        <v>6060</v>
      </c>
      <c r="AD21" s="29"/>
      <c r="AE21" s="21"/>
      <c r="AF21" s="23">
        <f>SUM(AF22:AF29)</f>
        <v>9400</v>
      </c>
      <c r="AG21" s="29"/>
      <c r="AH21" s="21"/>
      <c r="AI21" s="23">
        <f>SUM(AI22:AI29)</f>
        <v>5675</v>
      </c>
      <c r="AJ21" s="29"/>
      <c r="AK21" s="21"/>
      <c r="AL21" s="96">
        <f t="shared" ref="AL21:AL29" si="1">AVERAGE(B21,E21,H21,K21,N21,Q21,T21,W21,Z21,AC21,AF21,AI21)</f>
        <v>6314.583333333333</v>
      </c>
      <c r="AM21" s="13"/>
      <c r="AQ21" s="6"/>
    </row>
    <row r="22" spans="1:43" ht="14.4" customHeight="1" x14ac:dyDescent="0.3">
      <c r="A22" s="31" t="s">
        <v>17</v>
      </c>
      <c r="B22" s="24">
        <v>2000</v>
      </c>
      <c r="C22" s="26"/>
      <c r="D22" s="18"/>
      <c r="E22" s="24">
        <v>3000</v>
      </c>
      <c r="F22" s="26"/>
      <c r="G22" s="18"/>
      <c r="H22" s="24">
        <v>2500</v>
      </c>
      <c r="I22" s="26"/>
      <c r="J22" s="18"/>
      <c r="K22" s="24">
        <v>4000</v>
      </c>
      <c r="L22" s="26"/>
      <c r="M22" s="18"/>
      <c r="N22" s="24">
        <v>4400</v>
      </c>
      <c r="O22" s="26"/>
      <c r="P22" s="18"/>
      <c r="Q22" s="24">
        <v>4000</v>
      </c>
      <c r="R22" s="26"/>
      <c r="S22" s="18"/>
      <c r="T22" s="24">
        <v>7000</v>
      </c>
      <c r="U22" s="26"/>
      <c r="V22" s="18"/>
      <c r="W22" s="24">
        <v>500</v>
      </c>
      <c r="X22" s="26"/>
      <c r="Y22" s="18"/>
      <c r="Z22" s="24">
        <v>5000</v>
      </c>
      <c r="AA22" s="26"/>
      <c r="AB22" s="18"/>
      <c r="AC22" s="24">
        <v>5000</v>
      </c>
      <c r="AD22" s="26"/>
      <c r="AE22" s="18"/>
      <c r="AF22" s="24">
        <v>6000</v>
      </c>
      <c r="AG22" s="26"/>
      <c r="AH22" s="18"/>
      <c r="AI22" s="24">
        <v>4000</v>
      </c>
      <c r="AJ22" s="26"/>
      <c r="AK22" s="18"/>
      <c r="AL22" s="97">
        <f t="shared" si="1"/>
        <v>3950</v>
      </c>
      <c r="AM22" s="13"/>
      <c r="AQ22" s="6"/>
    </row>
    <row r="23" spans="1:43" ht="14.4" customHeight="1" x14ac:dyDescent="0.3">
      <c r="A23" s="32" t="s">
        <v>121</v>
      </c>
      <c r="B23" s="25">
        <v>600</v>
      </c>
      <c r="C23" s="27"/>
      <c r="D23" s="19"/>
      <c r="E23" s="25">
        <v>0</v>
      </c>
      <c r="F23" s="27"/>
      <c r="G23" s="19"/>
      <c r="H23" s="25">
        <v>200</v>
      </c>
      <c r="I23" s="27"/>
      <c r="J23" s="19"/>
      <c r="K23" s="25">
        <v>350</v>
      </c>
      <c r="L23" s="27"/>
      <c r="M23" s="19"/>
      <c r="N23" s="25">
        <v>120</v>
      </c>
      <c r="O23" s="27"/>
      <c r="P23" s="19"/>
      <c r="Q23" s="25">
        <v>770</v>
      </c>
      <c r="R23" s="27"/>
      <c r="S23" s="19"/>
      <c r="T23" s="25">
        <v>30</v>
      </c>
      <c r="U23" s="27"/>
      <c r="V23" s="19"/>
      <c r="W23" s="25">
        <v>700</v>
      </c>
      <c r="X23" s="27"/>
      <c r="Y23" s="19"/>
      <c r="Z23" s="25">
        <v>200</v>
      </c>
      <c r="AA23" s="27"/>
      <c r="AB23" s="19"/>
      <c r="AC23" s="25">
        <v>100</v>
      </c>
      <c r="AD23" s="27"/>
      <c r="AE23" s="19"/>
      <c r="AF23" s="25">
        <v>200</v>
      </c>
      <c r="AG23" s="27"/>
      <c r="AH23" s="19"/>
      <c r="AI23" s="25">
        <v>400</v>
      </c>
      <c r="AJ23" s="27"/>
      <c r="AK23" s="19"/>
      <c r="AL23" s="97">
        <f t="shared" si="1"/>
        <v>305.83333333333331</v>
      </c>
      <c r="AM23" s="13"/>
      <c r="AQ23" s="6"/>
    </row>
    <row r="24" spans="1:43" ht="14.4" customHeight="1" x14ac:dyDescent="0.3">
      <c r="A24" s="33" t="s">
        <v>18</v>
      </c>
      <c r="B24" s="25">
        <v>400</v>
      </c>
      <c r="C24" s="27"/>
      <c r="D24" s="19"/>
      <c r="E24" s="25">
        <v>400</v>
      </c>
      <c r="F24" s="27"/>
      <c r="G24" s="19"/>
      <c r="H24" s="25">
        <v>600</v>
      </c>
      <c r="I24" s="27"/>
      <c r="J24" s="19"/>
      <c r="K24" s="25">
        <v>300</v>
      </c>
      <c r="L24" s="27"/>
      <c r="M24" s="19"/>
      <c r="N24" s="25">
        <v>400</v>
      </c>
      <c r="O24" s="27"/>
      <c r="P24" s="19"/>
      <c r="Q24" s="25">
        <v>300</v>
      </c>
      <c r="R24" s="27"/>
      <c r="S24" s="19"/>
      <c r="T24" s="25">
        <v>120</v>
      </c>
      <c r="U24" s="27"/>
      <c r="V24" s="19"/>
      <c r="W24" s="25">
        <v>0</v>
      </c>
      <c r="X24" s="27"/>
      <c r="Y24" s="19"/>
      <c r="Z24" s="25">
        <v>900</v>
      </c>
      <c r="AA24" s="27"/>
      <c r="AB24" s="19"/>
      <c r="AC24" s="25">
        <v>300</v>
      </c>
      <c r="AD24" s="27"/>
      <c r="AE24" s="19"/>
      <c r="AF24" s="25">
        <v>500</v>
      </c>
      <c r="AG24" s="27"/>
      <c r="AH24" s="19"/>
      <c r="AI24" s="25">
        <v>600</v>
      </c>
      <c r="AJ24" s="27"/>
      <c r="AK24" s="19"/>
      <c r="AL24" s="97">
        <f t="shared" si="1"/>
        <v>401.66666666666669</v>
      </c>
      <c r="AM24" s="13"/>
    </row>
    <row r="25" spans="1:43" x14ac:dyDescent="0.3">
      <c r="A25" s="31" t="s">
        <v>19</v>
      </c>
      <c r="B25" s="25">
        <v>150</v>
      </c>
      <c r="C25" s="27"/>
      <c r="D25" s="19"/>
      <c r="E25" s="25">
        <v>100</v>
      </c>
      <c r="F25" s="27"/>
      <c r="G25" s="19"/>
      <c r="H25" s="25">
        <v>100</v>
      </c>
      <c r="I25" s="27"/>
      <c r="J25" s="19"/>
      <c r="K25" s="25">
        <v>100</v>
      </c>
      <c r="L25" s="27"/>
      <c r="M25" s="19"/>
      <c r="N25" s="25">
        <v>100</v>
      </c>
      <c r="O25" s="27"/>
      <c r="P25" s="19"/>
      <c r="Q25" s="25">
        <v>100</v>
      </c>
      <c r="R25" s="27"/>
      <c r="S25" s="19"/>
      <c r="T25" s="25">
        <v>100</v>
      </c>
      <c r="U25" s="27"/>
      <c r="V25" s="19"/>
      <c r="W25" s="25">
        <v>100</v>
      </c>
      <c r="X25" s="27"/>
      <c r="Y25" s="19"/>
      <c r="Z25" s="25">
        <v>200</v>
      </c>
      <c r="AA25" s="27"/>
      <c r="AB25" s="19"/>
      <c r="AC25" s="25">
        <v>200</v>
      </c>
      <c r="AD25" s="27"/>
      <c r="AE25" s="19"/>
      <c r="AF25" s="25">
        <v>200</v>
      </c>
      <c r="AG25" s="27"/>
      <c r="AH25" s="19"/>
      <c r="AI25" s="25">
        <v>200</v>
      </c>
      <c r="AJ25" s="27"/>
      <c r="AK25" s="19"/>
      <c r="AL25" s="97">
        <f t="shared" si="1"/>
        <v>137.5</v>
      </c>
      <c r="AM25" s="13"/>
    </row>
    <row r="26" spans="1:43" x14ac:dyDescent="0.3">
      <c r="A26" s="31" t="s">
        <v>119</v>
      </c>
      <c r="B26" s="25">
        <v>500</v>
      </c>
      <c r="C26" s="27"/>
      <c r="D26" s="19"/>
      <c r="E26" s="25">
        <v>0</v>
      </c>
      <c r="F26" s="27"/>
      <c r="G26" s="19"/>
      <c r="H26" s="25">
        <v>400</v>
      </c>
      <c r="I26" s="27"/>
      <c r="J26" s="19"/>
      <c r="K26" s="25">
        <v>500</v>
      </c>
      <c r="L26" s="27"/>
      <c r="M26" s="19"/>
      <c r="N26" s="25">
        <v>0</v>
      </c>
      <c r="O26" s="27"/>
      <c r="P26" s="19"/>
      <c r="Q26" s="25">
        <v>900</v>
      </c>
      <c r="R26" s="27"/>
      <c r="S26" s="19"/>
      <c r="T26" s="25">
        <v>0</v>
      </c>
      <c r="U26" s="27"/>
      <c r="V26" s="19"/>
      <c r="W26" s="25">
        <v>600</v>
      </c>
      <c r="X26" s="27"/>
      <c r="Y26" s="19"/>
      <c r="Z26" s="25">
        <v>270</v>
      </c>
      <c r="AA26" s="27"/>
      <c r="AB26" s="19"/>
      <c r="AC26" s="25">
        <v>180</v>
      </c>
      <c r="AD26" s="27"/>
      <c r="AE26" s="19"/>
      <c r="AF26" s="25">
        <v>0</v>
      </c>
      <c r="AG26" s="27"/>
      <c r="AH26" s="19"/>
      <c r="AI26" s="25">
        <v>175</v>
      </c>
      <c r="AJ26" s="27"/>
      <c r="AK26" s="19"/>
      <c r="AL26" s="97">
        <f t="shared" si="1"/>
        <v>293.75</v>
      </c>
      <c r="AM26" s="13"/>
    </row>
    <row r="27" spans="1:43" x14ac:dyDescent="0.3">
      <c r="A27" s="32" t="s">
        <v>20</v>
      </c>
      <c r="B27" s="25">
        <v>2200</v>
      </c>
      <c r="C27" s="27"/>
      <c r="D27" s="19"/>
      <c r="E27" s="25">
        <v>0</v>
      </c>
      <c r="F27" s="27"/>
      <c r="G27" s="19"/>
      <c r="H27" s="25">
        <v>250</v>
      </c>
      <c r="I27" s="27"/>
      <c r="J27" s="19"/>
      <c r="K27" s="25">
        <v>2210</v>
      </c>
      <c r="L27" s="27"/>
      <c r="M27" s="19"/>
      <c r="N27" s="25">
        <v>0</v>
      </c>
      <c r="O27" s="27"/>
      <c r="P27" s="19"/>
      <c r="Q27" s="25">
        <v>1800</v>
      </c>
      <c r="R27" s="27"/>
      <c r="S27" s="19"/>
      <c r="T27" s="25">
        <v>70</v>
      </c>
      <c r="U27" s="27"/>
      <c r="V27" s="19"/>
      <c r="W27" s="25">
        <v>1000</v>
      </c>
      <c r="X27" s="27"/>
      <c r="Y27" s="19"/>
      <c r="Z27" s="25">
        <v>2400</v>
      </c>
      <c r="AA27" s="27"/>
      <c r="AB27" s="19"/>
      <c r="AC27" s="25">
        <v>80</v>
      </c>
      <c r="AD27" s="27"/>
      <c r="AE27" s="19"/>
      <c r="AF27" s="25">
        <v>2300</v>
      </c>
      <c r="AG27" s="27"/>
      <c r="AH27" s="19"/>
      <c r="AI27" s="25">
        <v>0</v>
      </c>
      <c r="AJ27" s="27"/>
      <c r="AK27" s="19"/>
      <c r="AL27" s="97">
        <f t="shared" si="1"/>
        <v>1025.8333333333333</v>
      </c>
      <c r="AM27" s="13"/>
    </row>
    <row r="28" spans="1:43" x14ac:dyDescent="0.3">
      <c r="A28" s="32" t="s">
        <v>21</v>
      </c>
      <c r="B28" s="25">
        <v>100</v>
      </c>
      <c r="C28" s="27"/>
      <c r="D28" s="19"/>
      <c r="E28" s="25">
        <v>0</v>
      </c>
      <c r="F28" s="27"/>
      <c r="G28" s="19"/>
      <c r="H28" s="25">
        <v>0</v>
      </c>
      <c r="I28" s="27"/>
      <c r="J28" s="19"/>
      <c r="K28" s="25">
        <v>350</v>
      </c>
      <c r="L28" s="27"/>
      <c r="M28" s="19"/>
      <c r="N28" s="25">
        <v>500</v>
      </c>
      <c r="O28" s="27"/>
      <c r="P28" s="19"/>
      <c r="Q28" s="25">
        <v>0</v>
      </c>
      <c r="R28" s="27"/>
      <c r="S28" s="19"/>
      <c r="T28" s="25">
        <v>150</v>
      </c>
      <c r="U28" s="27"/>
      <c r="V28" s="19"/>
      <c r="W28" s="25">
        <v>400</v>
      </c>
      <c r="X28" s="27"/>
      <c r="Y28" s="19"/>
      <c r="Z28" s="25">
        <v>0</v>
      </c>
      <c r="AA28" s="27"/>
      <c r="AB28" s="19"/>
      <c r="AC28" s="25">
        <v>100</v>
      </c>
      <c r="AD28" s="27"/>
      <c r="AE28" s="19"/>
      <c r="AF28" s="25">
        <v>100</v>
      </c>
      <c r="AG28" s="27"/>
      <c r="AH28" s="19"/>
      <c r="AI28" s="25">
        <v>200</v>
      </c>
      <c r="AJ28" s="27"/>
      <c r="AK28" s="19"/>
      <c r="AL28" s="97">
        <f t="shared" si="1"/>
        <v>158.33333333333334</v>
      </c>
      <c r="AM28" s="13"/>
    </row>
    <row r="29" spans="1:43" ht="15" customHeight="1" thickBot="1" x14ac:dyDescent="0.35">
      <c r="A29" s="34" t="s">
        <v>22</v>
      </c>
      <c r="B29" s="30">
        <v>0</v>
      </c>
      <c r="C29" s="28"/>
      <c r="D29" s="20"/>
      <c r="E29" s="22">
        <v>0</v>
      </c>
      <c r="F29" s="28"/>
      <c r="G29" s="20"/>
      <c r="H29" s="22">
        <v>0</v>
      </c>
      <c r="I29" s="28"/>
      <c r="J29" s="20"/>
      <c r="K29" s="22">
        <v>0</v>
      </c>
      <c r="L29" s="28"/>
      <c r="M29" s="20"/>
      <c r="N29" s="22">
        <v>0</v>
      </c>
      <c r="O29" s="28"/>
      <c r="P29" s="20"/>
      <c r="Q29" s="22">
        <v>0</v>
      </c>
      <c r="R29" s="28"/>
      <c r="S29" s="20"/>
      <c r="T29" s="22">
        <v>0</v>
      </c>
      <c r="U29" s="28"/>
      <c r="V29" s="20"/>
      <c r="W29" s="22">
        <v>100</v>
      </c>
      <c r="X29" s="28"/>
      <c r="Y29" s="20"/>
      <c r="Z29" s="22">
        <v>100</v>
      </c>
      <c r="AA29" s="28"/>
      <c r="AB29" s="20"/>
      <c r="AC29" s="22">
        <v>100</v>
      </c>
      <c r="AD29" s="28"/>
      <c r="AE29" s="20"/>
      <c r="AF29" s="22">
        <v>100</v>
      </c>
      <c r="AG29" s="28"/>
      <c r="AH29" s="20"/>
      <c r="AI29" s="22">
        <v>100</v>
      </c>
      <c r="AJ29" s="28"/>
      <c r="AK29" s="20"/>
      <c r="AL29" s="98">
        <f t="shared" si="1"/>
        <v>41.666666666666664</v>
      </c>
      <c r="AM29" s="13"/>
    </row>
    <row r="30" spans="1:43" ht="15" customHeight="1" x14ac:dyDescent="0.3">
      <c r="A30" s="179" t="s">
        <v>23</v>
      </c>
      <c r="B30" s="24"/>
      <c r="C30" s="26"/>
      <c r="D30" s="18"/>
      <c r="E30" s="24"/>
      <c r="F30" s="26"/>
      <c r="G30" s="18"/>
      <c r="H30" s="24"/>
      <c r="I30" s="26"/>
      <c r="J30" s="18"/>
      <c r="K30" s="24"/>
      <c r="L30" s="26"/>
      <c r="M30" s="18"/>
      <c r="N30" s="24"/>
      <c r="O30" s="26"/>
      <c r="P30" s="18"/>
      <c r="Q30" s="24"/>
      <c r="R30" s="26"/>
      <c r="S30" s="18"/>
      <c r="T30" s="24"/>
      <c r="U30" s="26"/>
      <c r="V30" s="18"/>
      <c r="W30" s="24"/>
      <c r="X30" s="26"/>
      <c r="Y30" s="18"/>
      <c r="Z30" s="24"/>
      <c r="AA30" s="26"/>
      <c r="AB30" s="18"/>
      <c r="AC30" s="24"/>
      <c r="AD30" s="26"/>
      <c r="AE30" s="18"/>
      <c r="AF30" s="24"/>
      <c r="AG30" s="26"/>
      <c r="AH30" s="18"/>
      <c r="AI30" s="24"/>
      <c r="AJ30" s="26"/>
      <c r="AK30" s="18"/>
      <c r="AL30" s="97"/>
      <c r="AM30" s="13"/>
    </row>
    <row r="31" spans="1:43" ht="15" customHeight="1" thickBot="1" x14ac:dyDescent="0.35">
      <c r="A31" s="180"/>
      <c r="B31" s="30"/>
      <c r="C31" s="28"/>
      <c r="D31" s="20"/>
      <c r="E31" s="22"/>
      <c r="F31" s="28"/>
      <c r="G31" s="20"/>
      <c r="H31" s="22"/>
      <c r="I31" s="28"/>
      <c r="J31" s="20"/>
      <c r="K31" s="22"/>
      <c r="L31" s="28"/>
      <c r="M31" s="20"/>
      <c r="N31" s="22"/>
      <c r="O31" s="28"/>
      <c r="P31" s="20"/>
      <c r="Q31" s="22"/>
      <c r="R31" s="28"/>
      <c r="S31" s="20"/>
      <c r="T31" s="22"/>
      <c r="U31" s="28"/>
      <c r="V31" s="20"/>
      <c r="W31" s="22"/>
      <c r="X31" s="28"/>
      <c r="Y31" s="20"/>
      <c r="Z31" s="22"/>
      <c r="AA31" s="28"/>
      <c r="AB31" s="20"/>
      <c r="AC31" s="22"/>
      <c r="AD31" s="28"/>
      <c r="AE31" s="20"/>
      <c r="AF31" s="22"/>
      <c r="AG31" s="28"/>
      <c r="AH31" s="20"/>
      <c r="AI31" s="22"/>
      <c r="AJ31" s="28"/>
      <c r="AK31" s="20"/>
      <c r="AL31" s="98"/>
      <c r="AM31" s="13"/>
    </row>
    <row r="32" spans="1:43" ht="15" customHeight="1" thickBot="1" x14ac:dyDescent="0.35">
      <c r="A32" s="146" t="s">
        <v>122</v>
      </c>
      <c r="B32" s="39">
        <v>0</v>
      </c>
      <c r="C32" s="36"/>
      <c r="D32" s="37"/>
      <c r="E32" s="39">
        <v>0</v>
      </c>
      <c r="F32" s="36"/>
      <c r="G32" s="37"/>
      <c r="H32" s="39">
        <v>1500</v>
      </c>
      <c r="I32" s="36"/>
      <c r="J32" s="37"/>
      <c r="K32" s="39">
        <v>4500</v>
      </c>
      <c r="L32" s="36"/>
      <c r="M32" s="37"/>
      <c r="N32" s="39">
        <v>3300</v>
      </c>
      <c r="O32" s="36"/>
      <c r="P32" s="37"/>
      <c r="Q32" s="39">
        <v>1000</v>
      </c>
      <c r="R32" s="36"/>
      <c r="S32" s="37"/>
      <c r="T32" s="39">
        <v>450</v>
      </c>
      <c r="U32" s="36"/>
      <c r="V32" s="37"/>
      <c r="W32" s="39">
        <v>1100</v>
      </c>
      <c r="X32" s="36"/>
      <c r="Y32" s="37"/>
      <c r="Z32" s="39">
        <v>400</v>
      </c>
      <c r="AA32" s="36"/>
      <c r="AB32" s="37"/>
      <c r="AC32" s="39">
        <v>1500</v>
      </c>
      <c r="AD32" s="36"/>
      <c r="AE32" s="37"/>
      <c r="AF32" s="39">
        <v>750</v>
      </c>
      <c r="AG32" s="36"/>
      <c r="AH32" s="37"/>
      <c r="AI32" s="39">
        <v>2200</v>
      </c>
      <c r="AJ32" s="36"/>
      <c r="AK32" s="38"/>
      <c r="AL32" s="99">
        <f>AVERAGE(B32:AI32)</f>
        <v>1391.6666666666667</v>
      </c>
      <c r="AM32" s="17"/>
    </row>
    <row r="33" spans="1:38" x14ac:dyDescent="0.3">
      <c r="A33" s="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5" spans="1:38" x14ac:dyDescent="0.3">
      <c r="A35" s="7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I35" s="5"/>
      <c r="AJ35" s="5"/>
      <c r="AK35" s="5"/>
    </row>
  </sheetData>
  <mergeCells count="4">
    <mergeCell ref="B1:AK1"/>
    <mergeCell ref="B19:AK19"/>
    <mergeCell ref="A12:A13"/>
    <mergeCell ref="A30:A31"/>
  </mergeCells>
  <pageMargins left="0.7" right="0.7" top="0.75" bottom="0.75" header="0.3" footer="0.3"/>
  <pageSetup paperSize="9" orientation="portrait" horizontalDpi="3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Z22"/>
  <sheetViews>
    <sheetView workbookViewId="0">
      <selection activeCell="N29" sqref="N29"/>
    </sheetView>
  </sheetViews>
  <sheetFormatPr defaultRowHeight="14.4" x14ac:dyDescent="0.3"/>
  <cols>
    <col min="1" max="1" width="13.5546875" style="3" customWidth="1"/>
    <col min="2" max="25" width="6.88671875" style="3" customWidth="1"/>
    <col min="26" max="26" width="8.77734375" style="3" customWidth="1"/>
    <col min="27" max="37" width="8.88671875" style="3" customWidth="1"/>
    <col min="38" max="16384" width="8.88671875" style="3"/>
  </cols>
  <sheetData>
    <row r="1" spans="1:26" ht="15" customHeight="1" thickBot="1" x14ac:dyDescent="0.35">
      <c r="A1" s="182"/>
      <c r="B1" s="160">
        <v>2025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61"/>
    </row>
    <row r="2" spans="1:26" ht="15" customHeight="1" thickBot="1" x14ac:dyDescent="0.35">
      <c r="A2" s="109"/>
      <c r="B2" s="110" t="s">
        <v>2</v>
      </c>
      <c r="C2" s="111" t="s">
        <v>4</v>
      </c>
      <c r="D2" s="110" t="s">
        <v>5</v>
      </c>
      <c r="E2" s="111" t="s">
        <v>4</v>
      </c>
      <c r="F2" s="110" t="s">
        <v>6</v>
      </c>
      <c r="G2" s="111" t="s">
        <v>4</v>
      </c>
      <c r="H2" s="110" t="s">
        <v>7</v>
      </c>
      <c r="I2" s="111" t="s">
        <v>4</v>
      </c>
      <c r="J2" s="110" t="s">
        <v>8</v>
      </c>
      <c r="K2" s="111" t="s">
        <v>4</v>
      </c>
      <c r="L2" s="110" t="s">
        <v>9</v>
      </c>
      <c r="M2" s="111" t="s">
        <v>4</v>
      </c>
      <c r="N2" s="110" t="s">
        <v>10</v>
      </c>
      <c r="O2" s="111" t="s">
        <v>4</v>
      </c>
      <c r="P2" s="110" t="s">
        <v>11</v>
      </c>
      <c r="Q2" s="111" t="s">
        <v>4</v>
      </c>
      <c r="R2" s="110" t="s">
        <v>12</v>
      </c>
      <c r="S2" s="111" t="s">
        <v>4</v>
      </c>
      <c r="T2" s="110" t="s">
        <v>13</v>
      </c>
      <c r="U2" s="111" t="s">
        <v>4</v>
      </c>
      <c r="V2" s="110" t="s">
        <v>14</v>
      </c>
      <c r="W2" s="111" t="s">
        <v>4</v>
      </c>
      <c r="X2" s="110" t="s">
        <v>15</v>
      </c>
      <c r="Y2" s="111" t="s">
        <v>4</v>
      </c>
      <c r="Z2" s="112"/>
    </row>
    <row r="3" spans="1:26" ht="15" customHeight="1" thickBot="1" x14ac:dyDescent="0.35">
      <c r="A3" s="128" t="s">
        <v>16</v>
      </c>
      <c r="B3" s="23">
        <f>SUM(B4:B9)</f>
        <v>124378</v>
      </c>
      <c r="C3" s="21"/>
      <c r="D3" s="23">
        <f>SUM(D4:D9)</f>
        <v>123188</v>
      </c>
      <c r="E3" s="21"/>
      <c r="F3" s="23">
        <f>SUM(F4:F9)</f>
        <v>120166</v>
      </c>
      <c r="G3" s="21"/>
      <c r="H3" s="23">
        <f>SUM(H4:H9)</f>
        <v>122584</v>
      </c>
      <c r="I3" s="21"/>
      <c r="J3" s="23">
        <f>SUM(J4:J9)</f>
        <v>119217</v>
      </c>
      <c r="K3" s="21"/>
      <c r="L3" s="23">
        <f>SUM(L4:L9)</f>
        <v>147697</v>
      </c>
      <c r="M3" s="21"/>
      <c r="N3" s="23">
        <f>SUM(N4:N9)</f>
        <v>120018</v>
      </c>
      <c r="O3" s="21"/>
      <c r="P3" s="23">
        <f>SUM(P4:P9)</f>
        <v>121070</v>
      </c>
      <c r="Q3" s="21"/>
      <c r="R3" s="23">
        <f>SUM(R4:R9)</f>
        <v>125094</v>
      </c>
      <c r="S3" s="21"/>
      <c r="T3" s="23">
        <f>SUM(T4:T9)</f>
        <v>119034</v>
      </c>
      <c r="U3" s="21"/>
      <c r="V3" s="23">
        <f>SUM(V4:V9)</f>
        <v>120018</v>
      </c>
      <c r="W3" s="21"/>
      <c r="X3" s="23">
        <f>SUM(X4:X9)</f>
        <v>137775</v>
      </c>
      <c r="Y3" s="21"/>
      <c r="Z3" s="96">
        <f>AVERAGE(B3,D3,F3,H3,J3,L3,N3,P3,R3,T3,V3,X3)</f>
        <v>125019.91666666667</v>
      </c>
    </row>
    <row r="4" spans="1:26" x14ac:dyDescent="0.3">
      <c r="A4" s="32" t="s">
        <v>25</v>
      </c>
      <c r="B4" s="25">
        <v>120000</v>
      </c>
      <c r="C4" s="18"/>
      <c r="D4" s="24">
        <v>121000</v>
      </c>
      <c r="E4" s="18"/>
      <c r="F4" s="24">
        <v>118000</v>
      </c>
      <c r="G4" s="18"/>
      <c r="H4" s="24">
        <v>120000</v>
      </c>
      <c r="I4" s="18"/>
      <c r="J4" s="24">
        <v>117000</v>
      </c>
      <c r="K4" s="18"/>
      <c r="L4" s="24">
        <v>120500</v>
      </c>
      <c r="M4" s="18"/>
      <c r="N4" s="24">
        <v>120000</v>
      </c>
      <c r="O4" s="18"/>
      <c r="P4" s="24">
        <v>121000</v>
      </c>
      <c r="Q4" s="18"/>
      <c r="R4" s="24">
        <v>125000</v>
      </c>
      <c r="S4" s="18"/>
      <c r="T4" s="24">
        <v>119000</v>
      </c>
      <c r="U4" s="18"/>
      <c r="V4" s="24">
        <v>120000</v>
      </c>
      <c r="W4" s="18"/>
      <c r="X4" s="24">
        <v>117700</v>
      </c>
      <c r="Y4" s="18"/>
      <c r="Z4" s="97"/>
    </row>
    <row r="5" spans="1:26" x14ac:dyDescent="0.3">
      <c r="A5" s="32" t="s">
        <v>26</v>
      </c>
      <c r="B5" s="25">
        <v>4304</v>
      </c>
      <c r="C5" s="19"/>
      <c r="D5" s="25">
        <v>2152</v>
      </c>
      <c r="E5" s="19"/>
      <c r="F5" s="25">
        <v>2152</v>
      </c>
      <c r="G5" s="19"/>
      <c r="H5" s="25">
        <v>2152</v>
      </c>
      <c r="I5" s="19"/>
      <c r="J5" s="25">
        <v>2152</v>
      </c>
      <c r="K5" s="19"/>
      <c r="L5" s="25">
        <v>2152</v>
      </c>
      <c r="M5" s="19"/>
      <c r="N5" s="25">
        <v>0</v>
      </c>
      <c r="O5" s="19"/>
      <c r="P5" s="25">
        <v>0</v>
      </c>
      <c r="Q5" s="19"/>
      <c r="R5" s="25">
        <v>0</v>
      </c>
      <c r="S5" s="19"/>
      <c r="T5" s="25">
        <v>0</v>
      </c>
      <c r="U5" s="19"/>
      <c r="V5" s="25">
        <v>0</v>
      </c>
      <c r="W5" s="19"/>
      <c r="X5" s="25">
        <v>0</v>
      </c>
      <c r="Y5" s="19"/>
      <c r="Z5" s="97"/>
    </row>
    <row r="6" spans="1:26" x14ac:dyDescent="0.3">
      <c r="A6" s="32" t="s">
        <v>28</v>
      </c>
      <c r="B6" s="25">
        <v>74</v>
      </c>
      <c r="C6" s="19"/>
      <c r="D6" s="25">
        <v>36</v>
      </c>
      <c r="E6" s="19"/>
      <c r="F6" s="25">
        <v>14</v>
      </c>
      <c r="G6" s="19"/>
      <c r="H6" s="25">
        <v>432</v>
      </c>
      <c r="I6" s="19"/>
      <c r="J6" s="25">
        <v>65</v>
      </c>
      <c r="K6" s="19"/>
      <c r="L6" s="25">
        <v>45</v>
      </c>
      <c r="M6" s="19"/>
      <c r="N6" s="25">
        <v>18</v>
      </c>
      <c r="O6" s="19"/>
      <c r="P6" s="25">
        <v>70</v>
      </c>
      <c r="Q6" s="19"/>
      <c r="R6" s="25">
        <v>94</v>
      </c>
      <c r="S6" s="19"/>
      <c r="T6" s="25">
        <v>34</v>
      </c>
      <c r="U6" s="19"/>
      <c r="V6" s="25">
        <v>18</v>
      </c>
      <c r="W6" s="19"/>
      <c r="X6" s="25">
        <v>75</v>
      </c>
      <c r="Y6" s="19"/>
      <c r="Z6" s="97"/>
    </row>
    <row r="7" spans="1:26" ht="15" customHeight="1" thickBot="1" x14ac:dyDescent="0.35">
      <c r="A7" s="33" t="s">
        <v>29</v>
      </c>
      <c r="B7" s="25">
        <v>0</v>
      </c>
      <c r="C7" s="19"/>
      <c r="D7" s="25">
        <v>0</v>
      </c>
      <c r="E7" s="19"/>
      <c r="F7" s="25">
        <v>0</v>
      </c>
      <c r="G7" s="19"/>
      <c r="H7" s="25">
        <v>0</v>
      </c>
      <c r="I7" s="19"/>
      <c r="J7" s="25">
        <v>0</v>
      </c>
      <c r="K7" s="19"/>
      <c r="L7" s="25">
        <v>25000</v>
      </c>
      <c r="M7" s="19"/>
      <c r="N7" s="25">
        <v>0</v>
      </c>
      <c r="O7" s="19"/>
      <c r="P7" s="25">
        <v>0</v>
      </c>
      <c r="Q7" s="19"/>
      <c r="R7" s="25">
        <v>0</v>
      </c>
      <c r="S7" s="19"/>
      <c r="T7" s="25">
        <v>0</v>
      </c>
      <c r="U7" s="19"/>
      <c r="V7" s="25">
        <v>0</v>
      </c>
      <c r="W7" s="19"/>
      <c r="X7" s="25">
        <v>20000</v>
      </c>
      <c r="Y7" s="19"/>
      <c r="Z7" s="19"/>
    </row>
    <row r="8" spans="1:26" ht="15" customHeight="1" thickBot="1" x14ac:dyDescent="0.35">
      <c r="A8" s="162" t="s">
        <v>23</v>
      </c>
      <c r="B8" s="24"/>
      <c r="C8" s="18"/>
      <c r="D8" s="24"/>
      <c r="E8" s="18"/>
      <c r="F8" s="24"/>
      <c r="G8" s="18"/>
      <c r="H8" s="24"/>
      <c r="I8" s="18"/>
      <c r="J8" s="24"/>
      <c r="K8" s="18"/>
      <c r="L8" s="24"/>
      <c r="M8" s="18"/>
      <c r="N8" s="24"/>
      <c r="O8" s="18"/>
      <c r="P8" s="24"/>
      <c r="Q8" s="18"/>
      <c r="R8" s="24"/>
      <c r="S8" s="18"/>
      <c r="T8" s="24"/>
      <c r="U8" s="18"/>
      <c r="V8" s="24"/>
      <c r="W8" s="18"/>
      <c r="X8" s="24"/>
      <c r="Y8" s="18"/>
      <c r="Z8" s="18"/>
    </row>
    <row r="9" spans="1:26" ht="15" customHeight="1" thickBot="1" x14ac:dyDescent="0.35">
      <c r="A9" s="156"/>
      <c r="B9" s="25"/>
      <c r="C9" s="19"/>
      <c r="D9" s="25"/>
      <c r="E9" s="19"/>
      <c r="F9" s="25"/>
      <c r="G9" s="19"/>
      <c r="H9" s="25"/>
      <c r="I9" s="19"/>
      <c r="J9" s="25"/>
      <c r="K9" s="19"/>
      <c r="L9" s="25"/>
      <c r="M9" s="19"/>
      <c r="N9" s="25"/>
      <c r="O9" s="19"/>
      <c r="P9" s="25"/>
      <c r="Q9" s="19"/>
      <c r="R9" s="25"/>
      <c r="S9" s="19"/>
      <c r="T9" s="25"/>
      <c r="U9" s="19"/>
      <c r="V9" s="25"/>
      <c r="W9" s="19"/>
      <c r="X9" s="25"/>
      <c r="Y9" s="19"/>
      <c r="Z9" s="97"/>
    </row>
    <row r="10" spans="1:26" ht="15" customHeight="1" thickBot="1" x14ac:dyDescent="0.35">
      <c r="A10" s="128" t="s">
        <v>24</v>
      </c>
      <c r="B10" s="39">
        <f>SUM(B8:B9)</f>
        <v>0</v>
      </c>
      <c r="C10" s="37"/>
      <c r="D10" s="39">
        <f>SUM(D8:D9)</f>
        <v>0</v>
      </c>
      <c r="E10" s="37"/>
      <c r="F10" s="39">
        <f>SUM(F8:F9)</f>
        <v>0</v>
      </c>
      <c r="G10" s="37"/>
      <c r="H10" s="39">
        <f>SUM(H8:H9)</f>
        <v>0</v>
      </c>
      <c r="I10" s="37"/>
      <c r="J10" s="39">
        <f>SUM(J8:J9)</f>
        <v>0</v>
      </c>
      <c r="K10" s="37"/>
      <c r="L10" s="39">
        <f>SUM(L8:L9)</f>
        <v>0</v>
      </c>
      <c r="M10" s="37"/>
      <c r="N10" s="39">
        <f>SUM(N8:N9)</f>
        <v>0</v>
      </c>
      <c r="O10" s="37"/>
      <c r="P10" s="39">
        <f>SUM(P8:P9)</f>
        <v>0</v>
      </c>
      <c r="Q10" s="37"/>
      <c r="R10" s="39">
        <f>SUM(R8:R9)</f>
        <v>0</v>
      </c>
      <c r="S10" s="37"/>
      <c r="T10" s="39">
        <f>SUM(T8:T9)</f>
        <v>0</v>
      </c>
      <c r="U10" s="37"/>
      <c r="V10" s="39">
        <f>SUM(V8:V9)</f>
        <v>0</v>
      </c>
      <c r="W10" s="37"/>
      <c r="X10" s="39">
        <f>SUM(X8:X9)</f>
        <v>0</v>
      </c>
      <c r="Y10" s="38"/>
      <c r="Z10" s="119">
        <f>AVERAGE(B10:X10)</f>
        <v>0</v>
      </c>
    </row>
    <row r="12" spans="1:26" ht="15" thickBot="1" x14ac:dyDescent="0.35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 spans="1:26" ht="15" thickBot="1" x14ac:dyDescent="0.35">
      <c r="A13" s="108"/>
      <c r="B13" s="160">
        <v>2024</v>
      </c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61"/>
    </row>
    <row r="14" spans="1:26" ht="15" thickBot="1" x14ac:dyDescent="0.35">
      <c r="A14" s="109"/>
      <c r="B14" s="110" t="s">
        <v>2</v>
      </c>
      <c r="C14" s="111" t="s">
        <v>4</v>
      </c>
      <c r="D14" s="110" t="s">
        <v>5</v>
      </c>
      <c r="E14" s="111" t="s">
        <v>4</v>
      </c>
      <c r="F14" s="110" t="s">
        <v>6</v>
      </c>
      <c r="G14" s="111" t="s">
        <v>4</v>
      </c>
      <c r="H14" s="110" t="s">
        <v>7</v>
      </c>
      <c r="I14" s="111" t="s">
        <v>4</v>
      </c>
      <c r="J14" s="110" t="s">
        <v>8</v>
      </c>
      <c r="K14" s="111" t="s">
        <v>4</v>
      </c>
      <c r="L14" s="110" t="s">
        <v>9</v>
      </c>
      <c r="M14" s="111" t="s">
        <v>4</v>
      </c>
      <c r="N14" s="110" t="s">
        <v>10</v>
      </c>
      <c r="O14" s="111" t="s">
        <v>4</v>
      </c>
      <c r="P14" s="110" t="s">
        <v>11</v>
      </c>
      <c r="Q14" s="111" t="s">
        <v>4</v>
      </c>
      <c r="R14" s="110" t="s">
        <v>12</v>
      </c>
      <c r="S14" s="111" t="s">
        <v>4</v>
      </c>
      <c r="T14" s="110" t="s">
        <v>13</v>
      </c>
      <c r="U14" s="111" t="s">
        <v>4</v>
      </c>
      <c r="V14" s="110" t="s">
        <v>14</v>
      </c>
      <c r="W14" s="111" t="s">
        <v>4</v>
      </c>
      <c r="X14" s="110" t="s">
        <v>15</v>
      </c>
      <c r="Y14" s="111" t="s">
        <v>4</v>
      </c>
      <c r="Z14" s="112"/>
    </row>
    <row r="15" spans="1:26" ht="15" thickBot="1" x14ac:dyDescent="0.35">
      <c r="A15" s="146" t="s">
        <v>16</v>
      </c>
      <c r="B15" s="23">
        <f>SUM(B16:B21)</f>
        <v>40075</v>
      </c>
      <c r="C15" s="21"/>
      <c r="D15" s="23">
        <f>SUM(D16:D21)</f>
        <v>42105</v>
      </c>
      <c r="E15" s="21"/>
      <c r="F15" s="23">
        <f>SUM(F16:F21)</f>
        <v>40099</v>
      </c>
      <c r="G15" s="21"/>
      <c r="H15" s="23">
        <f>SUM(H16:H21)</f>
        <v>40042</v>
      </c>
      <c r="I15" s="21"/>
      <c r="J15" s="23">
        <f>SUM(J16:J21)</f>
        <v>38027</v>
      </c>
      <c r="K15" s="21"/>
      <c r="L15" s="23">
        <f>SUM(L16:L21)</f>
        <v>63252</v>
      </c>
      <c r="M15" s="21"/>
      <c r="N15" s="23">
        <f>SUM(N16:N21)</f>
        <v>97197</v>
      </c>
      <c r="O15" s="21"/>
      <c r="P15" s="23">
        <f>SUM(P16:P21)</f>
        <v>95730</v>
      </c>
      <c r="Q15" s="21"/>
      <c r="R15" s="23">
        <f>SUM(R16:R21)</f>
        <v>99902</v>
      </c>
      <c r="S15" s="21"/>
      <c r="T15" s="23">
        <f>SUM(T16:T21)</f>
        <v>100202</v>
      </c>
      <c r="U15" s="21"/>
      <c r="V15" s="23">
        <f>SUM(V16:V21)</f>
        <v>97183</v>
      </c>
      <c r="W15" s="21"/>
      <c r="X15" s="23">
        <f>SUM(X16:X21)</f>
        <v>115028</v>
      </c>
      <c r="Y15" s="21"/>
      <c r="Z15" s="96">
        <f>AVERAGE(B15,D15,F15,H15,J15,L15,N15,P15,R15,T15,V15,X15)</f>
        <v>72403.5</v>
      </c>
    </row>
    <row r="16" spans="1:26" x14ac:dyDescent="0.3">
      <c r="A16" s="32" t="s">
        <v>25</v>
      </c>
      <c r="B16" s="25">
        <v>40000</v>
      </c>
      <c r="C16" s="18"/>
      <c r="D16" s="24">
        <v>42000</v>
      </c>
      <c r="E16" s="18"/>
      <c r="F16" s="24">
        <v>40000</v>
      </c>
      <c r="G16" s="18"/>
      <c r="H16" s="24">
        <v>40000</v>
      </c>
      <c r="I16" s="18"/>
      <c r="J16" s="24">
        <v>38000</v>
      </c>
      <c r="K16" s="18"/>
      <c r="L16" s="24">
        <v>40000</v>
      </c>
      <c r="M16" s="18"/>
      <c r="N16" s="24">
        <v>95000</v>
      </c>
      <c r="O16" s="18"/>
      <c r="P16" s="24">
        <v>93500</v>
      </c>
      <c r="Q16" s="18"/>
      <c r="R16" s="24">
        <v>97000</v>
      </c>
      <c r="S16" s="18"/>
      <c r="T16" s="24">
        <v>98000</v>
      </c>
      <c r="U16" s="18"/>
      <c r="V16" s="24">
        <v>95000</v>
      </c>
      <c r="W16" s="18"/>
      <c r="X16" s="24">
        <v>96000</v>
      </c>
      <c r="Y16" s="18"/>
      <c r="Z16" s="97"/>
    </row>
    <row r="17" spans="1:26" x14ac:dyDescent="0.3">
      <c r="A17" s="32" t="s">
        <v>26</v>
      </c>
      <c r="B17" s="25">
        <v>0</v>
      </c>
      <c r="C17" s="19"/>
      <c r="D17" s="25">
        <v>0</v>
      </c>
      <c r="E17" s="19"/>
      <c r="F17" s="25">
        <v>0</v>
      </c>
      <c r="G17" s="19"/>
      <c r="H17" s="25">
        <v>0</v>
      </c>
      <c r="I17" s="19"/>
      <c r="J17" s="25">
        <v>0</v>
      </c>
      <c r="K17" s="19"/>
      <c r="L17" s="25">
        <v>0</v>
      </c>
      <c r="M17" s="19"/>
      <c r="N17" s="25">
        <v>2152</v>
      </c>
      <c r="O17" s="19"/>
      <c r="P17" s="25">
        <v>2152</v>
      </c>
      <c r="Q17" s="19"/>
      <c r="R17" s="25">
        <v>2152</v>
      </c>
      <c r="S17" s="19"/>
      <c r="T17" s="25">
        <v>2152</v>
      </c>
      <c r="U17" s="19"/>
      <c r="V17" s="25">
        <v>2152</v>
      </c>
      <c r="W17" s="19"/>
      <c r="X17" s="25">
        <v>0</v>
      </c>
      <c r="Y17" s="19"/>
      <c r="Z17" s="97"/>
    </row>
    <row r="18" spans="1:26" x14ac:dyDescent="0.3">
      <c r="A18" s="32" t="s">
        <v>28</v>
      </c>
      <c r="B18" s="25">
        <v>75</v>
      </c>
      <c r="C18" s="19"/>
      <c r="D18" s="25">
        <v>105</v>
      </c>
      <c r="E18" s="19"/>
      <c r="F18" s="25">
        <v>99</v>
      </c>
      <c r="G18" s="19"/>
      <c r="H18" s="25">
        <v>42</v>
      </c>
      <c r="I18" s="19"/>
      <c r="J18" s="25">
        <v>27</v>
      </c>
      <c r="K18" s="19"/>
      <c r="L18" s="25">
        <v>252</v>
      </c>
      <c r="M18" s="19"/>
      <c r="N18" s="25">
        <v>45</v>
      </c>
      <c r="O18" s="19"/>
      <c r="P18" s="25">
        <v>78</v>
      </c>
      <c r="Q18" s="19"/>
      <c r="R18" s="25">
        <v>750</v>
      </c>
      <c r="S18" s="19"/>
      <c r="T18" s="25">
        <v>50</v>
      </c>
      <c r="U18" s="19"/>
      <c r="V18" s="25">
        <v>31</v>
      </c>
      <c r="W18" s="19"/>
      <c r="X18" s="25">
        <v>28</v>
      </c>
      <c r="Y18" s="19"/>
      <c r="Z18" s="97"/>
    </row>
    <row r="19" spans="1:26" ht="15" thickBot="1" x14ac:dyDescent="0.35">
      <c r="A19" s="33" t="s">
        <v>29</v>
      </c>
      <c r="B19" s="25">
        <v>0</v>
      </c>
      <c r="C19" s="19"/>
      <c r="D19" s="25">
        <v>0</v>
      </c>
      <c r="E19" s="19"/>
      <c r="F19" s="25">
        <v>0</v>
      </c>
      <c r="G19" s="19"/>
      <c r="H19" s="25">
        <v>0</v>
      </c>
      <c r="I19" s="19"/>
      <c r="J19" s="25">
        <v>0</v>
      </c>
      <c r="K19" s="19"/>
      <c r="L19" s="25">
        <v>23000</v>
      </c>
      <c r="M19" s="19"/>
      <c r="N19" s="25">
        <v>0</v>
      </c>
      <c r="O19" s="19"/>
      <c r="P19" s="25">
        <v>0</v>
      </c>
      <c r="Q19" s="19"/>
      <c r="R19" s="25">
        <v>0</v>
      </c>
      <c r="S19" s="19"/>
      <c r="T19" s="25">
        <v>0</v>
      </c>
      <c r="U19" s="19"/>
      <c r="V19" s="25">
        <v>0</v>
      </c>
      <c r="W19" s="19"/>
      <c r="X19" s="25">
        <v>19000</v>
      </c>
      <c r="Y19" s="19"/>
      <c r="Z19" s="19"/>
    </row>
    <row r="20" spans="1:26" ht="15" thickBot="1" x14ac:dyDescent="0.35">
      <c r="A20" s="162" t="s">
        <v>23</v>
      </c>
      <c r="B20" s="24"/>
      <c r="C20" s="18"/>
      <c r="D20" s="24"/>
      <c r="E20" s="18"/>
      <c r="F20" s="24"/>
      <c r="G20" s="18"/>
      <c r="H20" s="24"/>
      <c r="I20" s="18"/>
      <c r="J20" s="24"/>
      <c r="K20" s="18"/>
      <c r="L20" s="24"/>
      <c r="M20" s="18"/>
      <c r="N20" s="24"/>
      <c r="O20" s="18"/>
      <c r="P20" s="24"/>
      <c r="Q20" s="18"/>
      <c r="R20" s="24"/>
      <c r="S20" s="18"/>
      <c r="T20" s="24"/>
      <c r="U20" s="18"/>
      <c r="V20" s="24"/>
      <c r="W20" s="18"/>
      <c r="X20" s="24"/>
      <c r="Y20" s="18"/>
      <c r="Z20" s="18"/>
    </row>
    <row r="21" spans="1:26" ht="15" thickBot="1" x14ac:dyDescent="0.35">
      <c r="A21" s="156"/>
      <c r="B21" s="25"/>
      <c r="C21" s="19"/>
      <c r="D21" s="25"/>
      <c r="E21" s="19"/>
      <c r="F21" s="25"/>
      <c r="G21" s="19"/>
      <c r="H21" s="25"/>
      <c r="I21" s="19"/>
      <c r="J21" s="25"/>
      <c r="K21" s="19"/>
      <c r="L21" s="25"/>
      <c r="M21" s="19"/>
      <c r="N21" s="25"/>
      <c r="O21" s="19"/>
      <c r="P21" s="25"/>
      <c r="Q21" s="19"/>
      <c r="R21" s="25"/>
      <c r="S21" s="19"/>
      <c r="T21" s="25"/>
      <c r="U21" s="19"/>
      <c r="V21" s="25"/>
      <c r="W21" s="19"/>
      <c r="X21" s="25"/>
      <c r="Y21" s="19"/>
      <c r="Z21" s="97"/>
    </row>
    <row r="22" spans="1:26" ht="15" thickBot="1" x14ac:dyDescent="0.35">
      <c r="A22" s="146" t="s">
        <v>24</v>
      </c>
      <c r="B22" s="39">
        <f>SUM(B20:B21)</f>
        <v>0</v>
      </c>
      <c r="C22" s="37"/>
      <c r="D22" s="39">
        <f>SUM(D20:D21)</f>
        <v>0</v>
      </c>
      <c r="E22" s="37"/>
      <c r="F22" s="39">
        <f>SUM(F20:F21)</f>
        <v>0</v>
      </c>
      <c r="G22" s="37"/>
      <c r="H22" s="39">
        <f>SUM(H20:H21)</f>
        <v>0</v>
      </c>
      <c r="I22" s="37"/>
      <c r="J22" s="39">
        <f>SUM(J20:J21)</f>
        <v>0</v>
      </c>
      <c r="K22" s="37"/>
      <c r="L22" s="39">
        <f>SUM(L20:L21)</f>
        <v>0</v>
      </c>
      <c r="M22" s="37"/>
      <c r="N22" s="39">
        <f>SUM(N20:N21)</f>
        <v>0</v>
      </c>
      <c r="O22" s="37"/>
      <c r="P22" s="39">
        <f>SUM(P20:P21)</f>
        <v>0</v>
      </c>
      <c r="Q22" s="37"/>
      <c r="R22" s="39">
        <f>SUM(R20:R21)</f>
        <v>0</v>
      </c>
      <c r="S22" s="37"/>
      <c r="T22" s="39">
        <f>SUM(T20:T21)</f>
        <v>0</v>
      </c>
      <c r="U22" s="37"/>
      <c r="V22" s="39">
        <f>SUM(V20:V21)</f>
        <v>0</v>
      </c>
      <c r="W22" s="37"/>
      <c r="X22" s="39">
        <f>SUM(X20:X21)</f>
        <v>0</v>
      </c>
      <c r="Y22" s="38"/>
      <c r="Z22" s="119">
        <f>AVERAGE(B22:X22)</f>
        <v>0</v>
      </c>
    </row>
  </sheetData>
  <mergeCells count="4">
    <mergeCell ref="A20:A21"/>
    <mergeCell ref="B1:Z1"/>
    <mergeCell ref="A8:A9"/>
    <mergeCell ref="B13:Z13"/>
  </mergeCells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>
    <tabColor theme="4" tint="-0.249977111117893"/>
  </sheetPr>
  <dimension ref="A1:U42"/>
  <sheetViews>
    <sheetView zoomScaleNormal="100" workbookViewId="0">
      <selection activeCell="G1" sqref="G1"/>
    </sheetView>
  </sheetViews>
  <sheetFormatPr defaultRowHeight="14.4" x14ac:dyDescent="0.3"/>
  <cols>
    <col min="1" max="1" width="4" style="130" customWidth="1"/>
    <col min="2" max="2" width="10.109375" style="130" bestFit="1" customWidth="1"/>
    <col min="3" max="3" width="11.33203125" style="130" bestFit="1" customWidth="1"/>
    <col min="4" max="4" width="13.5546875" style="130" customWidth="1"/>
    <col min="5" max="5" width="14.6640625" style="130" customWidth="1"/>
    <col min="6" max="6" width="16.44140625" style="130" bestFit="1" customWidth="1"/>
    <col min="7" max="7" width="15.6640625" style="130" customWidth="1"/>
    <col min="8" max="8" width="9.77734375" style="130" customWidth="1"/>
    <col min="10" max="10" width="9.33203125" style="130" customWidth="1"/>
    <col min="11" max="11" width="6.6640625" style="130" customWidth="1"/>
    <col min="12" max="12" width="6" style="130" customWidth="1"/>
    <col min="13" max="13" width="4" style="130" bestFit="1" customWidth="1"/>
    <col min="14" max="14" width="4.44140625" style="130" bestFit="1" customWidth="1"/>
    <col min="15" max="15" width="10.33203125" style="130" bestFit="1" customWidth="1"/>
    <col min="16" max="16" width="4.5546875" style="130" customWidth="1"/>
    <col min="17" max="17" width="5.109375" style="130" customWidth="1"/>
    <col min="18" max="18" width="5" style="130" customWidth="1"/>
    <col min="19" max="19" width="3.77734375" style="130" bestFit="1" customWidth="1"/>
    <col min="20" max="20" width="4.21875" style="130" bestFit="1" customWidth="1"/>
    <col min="21" max="21" width="4" style="130" bestFit="1" customWidth="1"/>
  </cols>
  <sheetData>
    <row r="1" spans="1:15" ht="14.4" customHeight="1" x14ac:dyDescent="0.3">
      <c r="A1" s="185" t="s">
        <v>30</v>
      </c>
      <c r="B1" s="185" t="s">
        <v>31</v>
      </c>
      <c r="C1" s="184" t="s">
        <v>32</v>
      </c>
      <c r="D1" s="184" t="s">
        <v>33</v>
      </c>
      <c r="E1" s="183" t="s">
        <v>123</v>
      </c>
      <c r="F1" s="151" t="s">
        <v>1</v>
      </c>
      <c r="G1" s="151" t="s">
        <v>0</v>
      </c>
      <c r="H1" s="148"/>
      <c r="I1" s="148"/>
    </row>
    <row r="2" spans="1:15" ht="14.4" customHeight="1" x14ac:dyDescent="0.3">
      <c r="A2" s="148"/>
      <c r="B2" s="148"/>
      <c r="C2" s="148"/>
      <c r="D2" s="148"/>
      <c r="E2" s="148"/>
      <c r="F2" s="148"/>
      <c r="G2" s="148"/>
      <c r="H2" s="121"/>
    </row>
    <row r="3" spans="1:15" ht="14.4" customHeight="1" x14ac:dyDescent="0.3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</row>
    <row r="4" spans="1:15" ht="14.4" customHeight="1" x14ac:dyDescent="0.3">
      <c r="A4" s="163">
        <v>2025</v>
      </c>
      <c r="B4" s="116" t="s">
        <v>35</v>
      </c>
      <c r="C4" s="186">
        <v>10000</v>
      </c>
      <c r="D4" s="186">
        <f>SUM(C4:$C$31)</f>
        <v>110500</v>
      </c>
      <c r="E4" s="186">
        <v>112073</v>
      </c>
      <c r="F4" s="147">
        <f t="shared" ref="F3:F30" si="0">IF((E4)/(E5+C4)&lt;1,(1-(E4)/(E5+C4))*(-1),(E4)/(E5+C4)-1)</f>
        <v>7.5154849555454373E-3</v>
      </c>
      <c r="G4" s="129">
        <f t="shared" ref="G3:G30" si="1">IF(E4/D4&lt;1,(1-E4/D4)*(-1),E4/D4-1)</f>
        <v>1.4235294117647124E-2</v>
      </c>
      <c r="H4" s="148"/>
      <c r="I4" s="148"/>
      <c r="J4" s="148"/>
      <c r="K4" s="148"/>
      <c r="L4" s="148"/>
      <c r="M4" s="148"/>
      <c r="N4" s="148"/>
      <c r="O4" s="148"/>
    </row>
    <row r="5" spans="1:15" ht="14.4" customHeight="1" x14ac:dyDescent="0.3">
      <c r="A5" s="152"/>
      <c r="B5" s="116" t="s">
        <v>36</v>
      </c>
      <c r="C5" s="186">
        <v>10000</v>
      </c>
      <c r="D5" s="186">
        <f>SUM(C5:$C$31)</f>
        <v>100500</v>
      </c>
      <c r="E5" s="186">
        <v>101237</v>
      </c>
      <c r="F5" s="147">
        <f t="shared" si="0"/>
        <v>-5.8917682178383224E-3</v>
      </c>
      <c r="G5" s="129">
        <f t="shared" si="1"/>
        <v>7.3333333333334139E-3</v>
      </c>
      <c r="H5" s="148"/>
      <c r="I5" s="148"/>
      <c r="J5" s="148"/>
      <c r="K5" s="148"/>
      <c r="L5" s="148"/>
      <c r="M5" s="148"/>
      <c r="N5" s="148"/>
      <c r="O5" s="148"/>
    </row>
    <row r="6" spans="1:15" ht="14.4" customHeight="1" x14ac:dyDescent="0.3">
      <c r="A6" s="152"/>
      <c r="B6" s="116" t="s">
        <v>37</v>
      </c>
      <c r="C6" s="186">
        <v>10000</v>
      </c>
      <c r="D6" s="186">
        <f>SUM(C6:$C$31)</f>
        <v>90500</v>
      </c>
      <c r="E6" s="186">
        <v>91837</v>
      </c>
      <c r="F6" s="147">
        <f t="shared" si="0"/>
        <v>1.580612335191578E-2</v>
      </c>
      <c r="G6" s="129">
        <f t="shared" si="1"/>
        <v>1.477348066298334E-2</v>
      </c>
      <c r="H6" s="148"/>
      <c r="I6" s="148"/>
      <c r="J6" s="148"/>
      <c r="K6" s="148"/>
      <c r="L6" s="148"/>
      <c r="M6" s="148"/>
      <c r="N6" s="148"/>
      <c r="O6" s="148"/>
    </row>
    <row r="7" spans="1:15" ht="14.4" customHeight="1" x14ac:dyDescent="0.3">
      <c r="A7" s="152"/>
      <c r="B7" s="116" t="s">
        <v>38</v>
      </c>
      <c r="C7" s="186">
        <v>10000</v>
      </c>
      <c r="D7" s="186">
        <f>SUM(C7:$C$31)</f>
        <v>80500</v>
      </c>
      <c r="E7" s="186">
        <v>80408</v>
      </c>
      <c r="F7" s="147">
        <f t="shared" si="0"/>
        <v>1.6189164254931887E-2</v>
      </c>
      <c r="G7" s="129">
        <f t="shared" si="1"/>
        <v>-1.1428571428571122E-3</v>
      </c>
      <c r="H7" s="148"/>
      <c r="I7" s="148"/>
      <c r="J7" s="148"/>
      <c r="K7" s="148"/>
      <c r="L7" s="148"/>
      <c r="M7" s="148"/>
      <c r="N7" s="148"/>
      <c r="O7" s="148"/>
    </row>
    <row r="8" spans="1:15" ht="14.4" customHeight="1" x14ac:dyDescent="0.3">
      <c r="A8" s="152"/>
      <c r="B8" s="116" t="s">
        <v>39</v>
      </c>
      <c r="C8" s="186">
        <v>10000</v>
      </c>
      <c r="D8" s="186">
        <f>SUM(C8:$C$31)</f>
        <v>70500</v>
      </c>
      <c r="E8" s="186">
        <v>69127</v>
      </c>
      <c r="F8" s="147">
        <f t="shared" si="0"/>
        <v>-2.0787919908764607E-3</v>
      </c>
      <c r="G8" s="129">
        <f t="shared" si="1"/>
        <v>-1.9475177304964508E-2</v>
      </c>
      <c r="H8" s="148"/>
      <c r="I8" s="148"/>
      <c r="J8" s="148"/>
      <c r="K8" s="148"/>
      <c r="L8" s="148"/>
      <c r="M8" s="148"/>
      <c r="N8" s="148"/>
      <c r="O8" s="148"/>
    </row>
    <row r="9" spans="1:15" ht="14.4" customHeight="1" x14ac:dyDescent="0.3">
      <c r="A9" s="152"/>
      <c r="B9" s="116" t="s">
        <v>40</v>
      </c>
      <c r="C9" s="186">
        <v>5000</v>
      </c>
      <c r="D9" s="186">
        <f>SUM(C9:$C$31)</f>
        <v>60500</v>
      </c>
      <c r="E9" s="186">
        <v>59271</v>
      </c>
      <c r="F9" s="147">
        <f t="shared" si="0"/>
        <v>-1.0946651759640935E-2</v>
      </c>
      <c r="G9" s="129">
        <f t="shared" si="1"/>
        <v>-2.031404958677685E-2</v>
      </c>
      <c r="H9" s="148"/>
      <c r="I9" s="148"/>
      <c r="J9" s="148"/>
      <c r="K9" s="148"/>
      <c r="L9" s="148"/>
      <c r="M9" s="148"/>
      <c r="N9" s="148"/>
      <c r="O9" s="148"/>
    </row>
    <row r="10" spans="1:15" ht="14.4" customHeight="1" x14ac:dyDescent="0.3">
      <c r="A10" s="152"/>
      <c r="B10" s="116" t="s">
        <v>41</v>
      </c>
      <c r="C10" s="186">
        <v>5000</v>
      </c>
      <c r="D10" s="186">
        <f>SUM(C10:$C$31)</f>
        <v>55500</v>
      </c>
      <c r="E10" s="186">
        <v>54927</v>
      </c>
      <c r="F10" s="147">
        <f t="shared" si="0"/>
        <v>1.0226039616707538E-2</v>
      </c>
      <c r="G10" s="129">
        <f t="shared" si="1"/>
        <v>-1.0324324324324285E-2</v>
      </c>
      <c r="H10" s="148"/>
      <c r="I10" s="148"/>
      <c r="J10" s="148"/>
      <c r="K10" s="148"/>
      <c r="L10" s="148"/>
      <c r="M10" s="148"/>
      <c r="N10" s="148"/>
      <c r="O10" s="148"/>
    </row>
    <row r="11" spans="1:15" ht="14.4" customHeight="1" x14ac:dyDescent="0.3">
      <c r="A11" s="152"/>
      <c r="B11" s="116" t="s">
        <v>8</v>
      </c>
      <c r="C11" s="186">
        <v>5000</v>
      </c>
      <c r="D11" s="186">
        <f>SUM(C11:$C$31)</f>
        <v>50500</v>
      </c>
      <c r="E11" s="186">
        <v>49371</v>
      </c>
      <c r="F11" s="147">
        <f t="shared" si="0"/>
        <v>-2.0250703711954809E-4</v>
      </c>
      <c r="G11" s="129">
        <f t="shared" si="1"/>
        <v>-2.2356435643564376E-2</v>
      </c>
      <c r="H11" s="148"/>
      <c r="I11" s="148"/>
      <c r="J11" s="148"/>
      <c r="K11" s="148"/>
      <c r="L11" s="148"/>
      <c r="M11" s="148"/>
      <c r="N11" s="148"/>
      <c r="O11" s="148"/>
    </row>
    <row r="12" spans="1:15" ht="14.4" customHeight="1" x14ac:dyDescent="0.3">
      <c r="A12" s="152"/>
      <c r="B12" s="116" t="s">
        <v>42</v>
      </c>
      <c r="C12" s="186">
        <v>5000</v>
      </c>
      <c r="D12" s="186">
        <f>SUM(C12:$C$31)</f>
        <v>45500</v>
      </c>
      <c r="E12" s="186">
        <v>44381</v>
      </c>
      <c r="F12" s="147">
        <f t="shared" si="0"/>
        <v>-5.5180635684329293E-2</v>
      </c>
      <c r="G12" s="129">
        <f t="shared" si="1"/>
        <v>-2.4593406593406586E-2</v>
      </c>
      <c r="H12" s="148"/>
      <c r="I12" s="148"/>
      <c r="J12" s="148"/>
      <c r="K12" s="148"/>
      <c r="L12" s="148"/>
      <c r="M12" s="148"/>
      <c r="N12" s="148"/>
      <c r="O12" s="148"/>
    </row>
    <row r="13" spans="1:15" ht="14.4" customHeight="1" x14ac:dyDescent="0.3">
      <c r="A13" s="152"/>
      <c r="B13" s="116" t="s">
        <v>43</v>
      </c>
      <c r="C13" s="186">
        <v>7000</v>
      </c>
      <c r="D13" s="186">
        <f>SUM(C13:$C$31)</f>
        <v>40500</v>
      </c>
      <c r="E13" s="186">
        <v>41973</v>
      </c>
      <c r="F13" s="147">
        <f t="shared" si="0"/>
        <v>1.26431297709928E-3</v>
      </c>
      <c r="G13" s="129">
        <f t="shared" si="1"/>
        <v>3.6370370370370386E-2</v>
      </c>
      <c r="H13" s="148"/>
      <c r="I13" s="148"/>
      <c r="J13" s="148"/>
      <c r="K13" s="148"/>
      <c r="L13" s="148"/>
      <c r="M13" s="148"/>
      <c r="N13" s="148"/>
      <c r="O13" s="148"/>
    </row>
    <row r="14" spans="1:15" ht="14.4" customHeight="1" x14ac:dyDescent="0.3">
      <c r="A14" s="152"/>
      <c r="B14" s="116" t="s">
        <v>44</v>
      </c>
      <c r="C14" s="186">
        <v>0</v>
      </c>
      <c r="D14" s="186">
        <f>SUM(C14:$C$31)</f>
        <v>33500</v>
      </c>
      <c r="E14" s="186">
        <v>34920</v>
      </c>
      <c r="F14" s="147">
        <f t="shared" si="0"/>
        <v>5.6612908106145499E-2</v>
      </c>
      <c r="G14" s="129">
        <f t="shared" si="1"/>
        <v>4.2388059701492509E-2</v>
      </c>
      <c r="H14" s="148"/>
      <c r="I14" s="148"/>
      <c r="J14" s="148"/>
      <c r="K14" s="148"/>
      <c r="L14" s="148"/>
      <c r="M14" s="148"/>
      <c r="N14" s="148"/>
      <c r="O14" s="148"/>
    </row>
    <row r="15" spans="1:15" ht="14.4" customHeight="1" x14ac:dyDescent="0.3">
      <c r="A15" s="153"/>
      <c r="B15" s="116" t="s">
        <v>34</v>
      </c>
      <c r="C15" s="186">
        <v>3500</v>
      </c>
      <c r="D15" s="186">
        <f>SUM(C15:$C$31)</f>
        <v>33500</v>
      </c>
      <c r="E15" s="186">
        <v>33049</v>
      </c>
      <c r="F15" s="147">
        <f t="shared" si="0"/>
        <v>7.2843645230111775E-3</v>
      </c>
      <c r="G15" s="129">
        <f t="shared" si="1"/>
        <v>-1.3462686567164206E-2</v>
      </c>
      <c r="H15" s="148"/>
      <c r="I15" s="148"/>
      <c r="J15" s="148"/>
      <c r="K15" s="148"/>
      <c r="L15" s="148"/>
      <c r="M15" s="148"/>
      <c r="N15" s="148"/>
      <c r="O15" s="148"/>
    </row>
    <row r="16" spans="1:15" ht="14.4" customHeight="1" x14ac:dyDescent="0.3">
      <c r="A16" s="163">
        <v>2024</v>
      </c>
      <c r="B16" s="116" t="s">
        <v>35</v>
      </c>
      <c r="C16" s="186">
        <v>3500</v>
      </c>
      <c r="D16" s="186">
        <f>SUM(C16:$C$31)</f>
        <v>30000</v>
      </c>
      <c r="E16" s="186">
        <v>29310</v>
      </c>
      <c r="F16" s="147">
        <f t="shared" si="0"/>
        <v>2.9287821323219498E-2</v>
      </c>
      <c r="G16" s="129">
        <f t="shared" si="1"/>
        <v>-2.300000000000002E-2</v>
      </c>
      <c r="H16" s="148"/>
      <c r="I16" s="148"/>
      <c r="J16" s="148"/>
      <c r="K16" s="148"/>
      <c r="L16" s="148"/>
      <c r="M16" s="148"/>
      <c r="N16" s="148"/>
      <c r="O16" s="148"/>
    </row>
    <row r="17" spans="1:15" ht="14.4" customHeight="1" x14ac:dyDescent="0.3">
      <c r="A17" s="152"/>
      <c r="B17" s="58" t="s">
        <v>36</v>
      </c>
      <c r="C17" s="186">
        <v>3500</v>
      </c>
      <c r="D17" s="186">
        <f>SUM(C17:$C$31)</f>
        <v>26500</v>
      </c>
      <c r="E17" s="186">
        <v>24976</v>
      </c>
      <c r="F17" s="147">
        <f t="shared" si="0"/>
        <v>-5.6940039268992604E-2</v>
      </c>
      <c r="G17" s="129">
        <f t="shared" si="1"/>
        <v>-5.7509433962264156E-2</v>
      </c>
      <c r="H17" s="148"/>
      <c r="I17" s="148"/>
      <c r="J17" s="148"/>
      <c r="K17" s="148"/>
      <c r="L17" s="148"/>
      <c r="M17" s="148"/>
      <c r="N17" s="148"/>
      <c r="O17" s="148"/>
    </row>
    <row r="18" spans="1:15" ht="14.4" customHeight="1" x14ac:dyDescent="0.3">
      <c r="A18" s="152"/>
      <c r="B18" s="58" t="s">
        <v>37</v>
      </c>
      <c r="C18" s="186">
        <v>2000</v>
      </c>
      <c r="D18" s="186">
        <f>SUM(C18:$C$31)</f>
        <v>23000</v>
      </c>
      <c r="E18" s="186">
        <v>22984</v>
      </c>
      <c r="F18" s="147">
        <f t="shared" si="0"/>
        <v>2.8597001566345925E-2</v>
      </c>
      <c r="G18" s="129">
        <f t="shared" si="1"/>
        <v>-6.9565217391309719E-4</v>
      </c>
      <c r="H18" s="148"/>
      <c r="I18" s="148"/>
      <c r="J18" s="148"/>
      <c r="K18" s="148"/>
      <c r="L18" s="148"/>
      <c r="M18" s="148"/>
      <c r="N18" s="148"/>
      <c r="O18" s="148"/>
    </row>
    <row r="19" spans="1:15" x14ac:dyDescent="0.3">
      <c r="A19" s="152"/>
      <c r="B19" s="58" t="s">
        <v>38</v>
      </c>
      <c r="C19" s="186">
        <v>2000</v>
      </c>
      <c r="D19" s="186">
        <f>SUM(C19:$C$31)</f>
        <v>21000</v>
      </c>
      <c r="E19" s="187">
        <v>20345</v>
      </c>
      <c r="F19" s="147">
        <f t="shared" si="0"/>
        <v>3.6793558579218288E-2</v>
      </c>
      <c r="G19" s="129">
        <f t="shared" si="1"/>
        <v>-3.1190476190476213E-2</v>
      </c>
      <c r="H19" s="148"/>
      <c r="I19" s="148"/>
      <c r="J19" s="148"/>
      <c r="K19" s="148"/>
      <c r="L19" s="148"/>
      <c r="M19" s="148"/>
      <c r="N19" s="148"/>
      <c r="O19" s="148"/>
    </row>
    <row r="20" spans="1:15" x14ac:dyDescent="0.3">
      <c r="A20" s="152"/>
      <c r="B20" s="117" t="s">
        <v>39</v>
      </c>
      <c r="C20" s="186">
        <v>2000</v>
      </c>
      <c r="D20" s="186">
        <f>SUM(C20:$C$31)</f>
        <v>19000</v>
      </c>
      <c r="E20" s="187">
        <v>17623</v>
      </c>
      <c r="F20" s="147">
        <f t="shared" si="0"/>
        <v>-2.0236837716128275E-2</v>
      </c>
      <c r="G20" s="129">
        <f t="shared" si="1"/>
        <v>-7.2473684210526357E-2</v>
      </c>
      <c r="H20" s="148"/>
      <c r="I20" s="148"/>
      <c r="J20" s="148"/>
      <c r="K20" s="148"/>
      <c r="L20" s="148"/>
      <c r="M20" s="148"/>
      <c r="N20" s="148"/>
      <c r="O20" s="148"/>
    </row>
    <row r="21" spans="1:15" x14ac:dyDescent="0.3">
      <c r="A21" s="152"/>
      <c r="B21" s="57" t="s">
        <v>40</v>
      </c>
      <c r="C21" s="186">
        <v>2000</v>
      </c>
      <c r="D21" s="186">
        <f>SUM(C21:$C$31)</f>
        <v>17000</v>
      </c>
      <c r="E21" s="187">
        <v>15987</v>
      </c>
      <c r="F21" s="147">
        <f t="shared" si="0"/>
        <v>-4.4525460196031541E-2</v>
      </c>
      <c r="G21" s="129">
        <f t="shared" si="1"/>
        <v>-5.9588235294117609E-2</v>
      </c>
      <c r="H21" s="148"/>
      <c r="I21" s="148"/>
      <c r="J21" s="148"/>
      <c r="K21" s="148"/>
      <c r="L21" s="148"/>
      <c r="M21" s="148"/>
      <c r="N21" s="148"/>
      <c r="O21" s="148"/>
    </row>
    <row r="22" spans="1:15" x14ac:dyDescent="0.3">
      <c r="A22" s="152"/>
      <c r="B22" s="58" t="s">
        <v>41</v>
      </c>
      <c r="C22" s="186">
        <v>5000</v>
      </c>
      <c r="D22" s="186">
        <f>SUM(C22:$C$31)</f>
        <v>15000</v>
      </c>
      <c r="E22" s="187">
        <v>14732</v>
      </c>
      <c r="F22" s="147">
        <f t="shared" si="0"/>
        <v>-6.8760954563840126E-3</v>
      </c>
      <c r="G22" s="129">
        <f t="shared" si="1"/>
        <v>-1.7866666666666697E-2</v>
      </c>
      <c r="H22" s="148"/>
      <c r="I22" s="148"/>
      <c r="J22" s="148"/>
      <c r="K22" s="148"/>
      <c r="L22" s="148"/>
      <c r="M22" s="148"/>
      <c r="N22" s="148"/>
      <c r="O22" s="148"/>
    </row>
    <row r="23" spans="1:15" x14ac:dyDescent="0.3">
      <c r="A23" s="152"/>
      <c r="B23" s="117" t="s">
        <v>8</v>
      </c>
      <c r="C23" s="186">
        <v>0</v>
      </c>
      <c r="D23" s="186">
        <f>SUM(C23:$C$31)</f>
        <v>10000</v>
      </c>
      <c r="E23" s="187">
        <v>9834</v>
      </c>
      <c r="F23" s="147">
        <f t="shared" si="0"/>
        <v>-7.835051546391758E-2</v>
      </c>
      <c r="G23" s="129">
        <f t="shared" si="1"/>
        <v>-1.6599999999999948E-2</v>
      </c>
      <c r="H23" s="148"/>
      <c r="I23" s="148"/>
      <c r="J23" s="148"/>
      <c r="K23" s="148"/>
      <c r="L23" s="148"/>
      <c r="M23" s="148"/>
      <c r="N23" s="148"/>
      <c r="O23" s="148"/>
    </row>
    <row r="24" spans="1:15" x14ac:dyDescent="0.3">
      <c r="A24" s="152"/>
      <c r="B24" s="117" t="s">
        <v>42</v>
      </c>
      <c r="C24" s="186">
        <v>0</v>
      </c>
      <c r="D24" s="186">
        <f>SUM(C24:$C$31)</f>
        <v>10000</v>
      </c>
      <c r="E24" s="187">
        <v>10670</v>
      </c>
      <c r="F24" s="147">
        <f t="shared" si="0"/>
        <v>6.9888699488619199E-2</v>
      </c>
      <c r="G24" s="129">
        <f t="shared" si="1"/>
        <v>6.6999999999999948E-2</v>
      </c>
      <c r="H24" s="148"/>
      <c r="I24" s="148"/>
      <c r="J24" s="148"/>
      <c r="K24" s="148"/>
      <c r="L24" s="148"/>
      <c r="M24" s="148"/>
      <c r="N24" s="148"/>
      <c r="O24" s="148"/>
    </row>
    <row r="25" spans="1:15" x14ac:dyDescent="0.3">
      <c r="A25" s="152"/>
      <c r="B25" s="117" t="s">
        <v>43</v>
      </c>
      <c r="C25" s="186">
        <v>5000</v>
      </c>
      <c r="D25" s="186">
        <f>SUM(C25:$C$31)</f>
        <v>10000</v>
      </c>
      <c r="E25" s="187">
        <v>9973</v>
      </c>
      <c r="F25" s="147">
        <f t="shared" si="0"/>
        <v>8.8003236900666693E-3</v>
      </c>
      <c r="G25" s="129">
        <f t="shared" si="1"/>
        <v>-2.7000000000000357E-3</v>
      </c>
      <c r="H25" s="148"/>
      <c r="I25" s="148"/>
      <c r="J25" s="148"/>
      <c r="K25" s="148"/>
      <c r="L25" s="148"/>
      <c r="M25" s="148"/>
      <c r="N25" s="148"/>
      <c r="O25" s="148"/>
    </row>
    <row r="26" spans="1:15" x14ac:dyDescent="0.3">
      <c r="A26" s="152"/>
      <c r="B26" s="118" t="s">
        <v>44</v>
      </c>
      <c r="C26" s="186">
        <v>0</v>
      </c>
      <c r="D26" s="186">
        <f>SUM(C26:$C$31)</f>
        <v>5000</v>
      </c>
      <c r="E26" s="187">
        <v>4886</v>
      </c>
      <c r="F26" s="147">
        <f t="shared" si="0"/>
        <v>1.1175496688741626E-2</v>
      </c>
      <c r="G26" s="129">
        <f t="shared" si="1"/>
        <v>-2.2800000000000042E-2</v>
      </c>
      <c r="H26" s="148"/>
      <c r="I26" s="148"/>
      <c r="J26" s="148"/>
      <c r="K26" s="148"/>
      <c r="L26" s="148"/>
      <c r="M26" s="148"/>
      <c r="N26" s="148"/>
      <c r="O26" s="148"/>
    </row>
    <row r="27" spans="1:15" x14ac:dyDescent="0.3">
      <c r="A27" s="153"/>
      <c r="B27" s="118" t="s">
        <v>34</v>
      </c>
      <c r="C27" s="186">
        <v>5000</v>
      </c>
      <c r="D27" s="186">
        <f>SUM(C27:$C$31)</f>
        <v>5000</v>
      </c>
      <c r="E27" s="187">
        <v>4832</v>
      </c>
      <c r="F27" s="147">
        <f t="shared" si="0"/>
        <v>-3.3599999999999963E-2</v>
      </c>
      <c r="G27" s="129">
        <f t="shared" si="1"/>
        <v>-3.3599999999999963E-2</v>
      </c>
      <c r="H27" s="148"/>
      <c r="I27" s="148"/>
      <c r="J27" s="148"/>
      <c r="K27" s="148"/>
      <c r="L27" s="148"/>
      <c r="M27" s="148"/>
      <c r="N27" s="148"/>
      <c r="O27" s="148"/>
    </row>
    <row r="28" spans="1:15" x14ac:dyDescent="0.3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</row>
    <row r="29" spans="1:15" x14ac:dyDescent="0.3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</row>
    <row r="30" spans="1:15" x14ac:dyDescent="0.3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</row>
    <row r="31" spans="1:15" x14ac:dyDescent="0.3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</row>
    <row r="32" spans="1:15" x14ac:dyDescent="0.3">
      <c r="H32" s="148"/>
      <c r="I32" s="148"/>
      <c r="J32" s="148"/>
      <c r="K32" s="148"/>
      <c r="L32" s="148"/>
      <c r="M32" s="148"/>
      <c r="N32" s="148"/>
      <c r="O32" s="148"/>
    </row>
    <row r="33" spans="2:15" x14ac:dyDescent="0.3">
      <c r="H33" s="148"/>
      <c r="I33" s="148"/>
      <c r="J33" s="148"/>
      <c r="K33" s="148"/>
      <c r="L33" s="148"/>
      <c r="M33" s="148"/>
      <c r="N33" s="148"/>
      <c r="O33" s="148"/>
    </row>
    <row r="34" spans="2:15" x14ac:dyDescent="0.3">
      <c r="H34" s="148"/>
      <c r="I34" s="148"/>
      <c r="J34" s="148"/>
      <c r="K34" s="148"/>
      <c r="L34" s="148"/>
      <c r="M34" s="148"/>
      <c r="N34" s="148"/>
      <c r="O34" s="148"/>
    </row>
    <row r="35" spans="2:15" x14ac:dyDescent="0.3"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</row>
    <row r="36" spans="2:15" ht="14.4" customHeight="1" x14ac:dyDescent="0.3"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</row>
    <row r="37" spans="2:15" x14ac:dyDescent="0.3"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</row>
    <row r="38" spans="2:15" x14ac:dyDescent="0.3"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</row>
    <row r="39" spans="2:15" x14ac:dyDescent="0.3"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</row>
    <row r="40" spans="2:15" x14ac:dyDescent="0.3"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</row>
    <row r="41" spans="2:15" x14ac:dyDescent="0.3"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</row>
    <row r="42" spans="2:15" x14ac:dyDescent="0.3"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</row>
  </sheetData>
  <mergeCells count="2">
    <mergeCell ref="A4:A15"/>
    <mergeCell ref="A16:A27"/>
  </mergeCells>
  <conditionalFormatting sqref="F4:F27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G4:G27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paperSize="9" orientation="portrait" horizontalDpi="30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theme="4" tint="-0.249977111117893"/>
  </sheetPr>
  <dimension ref="A1:U27"/>
  <sheetViews>
    <sheetView zoomScaleNormal="100" workbookViewId="0">
      <selection activeCell="H3" sqref="H3"/>
    </sheetView>
  </sheetViews>
  <sheetFormatPr defaultRowHeight="14.4" x14ac:dyDescent="0.3"/>
  <cols>
    <col min="1" max="1" width="3.77734375" style="130" customWidth="1"/>
    <col min="2" max="2" width="10.109375" style="130" bestFit="1" customWidth="1"/>
    <col min="3" max="3" width="11.33203125" style="130" bestFit="1" customWidth="1"/>
    <col min="4" max="4" width="13.5546875" style="130" customWidth="1"/>
    <col min="5" max="5" width="14.6640625" style="130" customWidth="1"/>
    <col min="6" max="6" width="16.44140625" style="130" bestFit="1" customWidth="1"/>
    <col min="7" max="7" width="15.6640625" style="130" customWidth="1"/>
    <col min="8" max="8" width="9.77734375" style="130" customWidth="1"/>
    <col min="10" max="10" width="8.109375" style="130" customWidth="1"/>
    <col min="11" max="11" width="6.33203125" style="130" customWidth="1"/>
    <col min="12" max="12" width="6.21875" style="130" customWidth="1"/>
    <col min="13" max="13" width="4" style="130" bestFit="1" customWidth="1"/>
    <col min="14" max="14" width="4.44140625" style="130" bestFit="1" customWidth="1"/>
    <col min="15" max="15" width="4.6640625" style="130" bestFit="1" customWidth="1"/>
    <col min="16" max="16" width="4.5546875" style="130" bestFit="1" customWidth="1"/>
    <col min="17" max="17" width="3.6640625" style="130" bestFit="1" customWidth="1"/>
    <col min="18" max="18" width="4" style="130" bestFit="1" customWidth="1"/>
    <col min="19" max="19" width="3.77734375" style="130" bestFit="1" customWidth="1"/>
    <col min="20" max="20" width="4.21875" style="130" bestFit="1" customWidth="1"/>
    <col min="21" max="21" width="4" style="130" bestFit="1" customWidth="1"/>
  </cols>
  <sheetData>
    <row r="1" spans="1:20" ht="16.2" customHeight="1" x14ac:dyDescent="0.3">
      <c r="A1" s="185" t="s">
        <v>30</v>
      </c>
      <c r="B1" s="185" t="s">
        <v>31</v>
      </c>
      <c r="C1" s="184" t="s">
        <v>32</v>
      </c>
      <c r="D1" s="188" t="s">
        <v>33</v>
      </c>
      <c r="E1" s="189" t="s">
        <v>123</v>
      </c>
      <c r="F1" s="151" t="s">
        <v>1</v>
      </c>
      <c r="G1" s="151" t="s">
        <v>0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</row>
    <row r="2" spans="1:20" x14ac:dyDescent="0.3">
      <c r="B2" s="1"/>
      <c r="C2" s="100"/>
      <c r="D2" s="101"/>
      <c r="E2" s="101"/>
      <c r="F2" s="9"/>
      <c r="G2" s="9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</row>
    <row r="3" spans="1:20" x14ac:dyDescent="0.3">
      <c r="B3" s="1"/>
      <c r="C3" s="100"/>
      <c r="D3" s="101"/>
      <c r="E3" s="101"/>
      <c r="F3" s="9"/>
      <c r="G3" s="9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21"/>
      <c r="T3" s="121"/>
    </row>
    <row r="4" spans="1:20" ht="14.4" customHeight="1" x14ac:dyDescent="0.3">
      <c r="A4" s="163">
        <v>2025</v>
      </c>
      <c r="B4" s="116" t="s">
        <v>35</v>
      </c>
      <c r="C4" s="186">
        <v>17500</v>
      </c>
      <c r="D4" s="186">
        <f>SUM(C4:$C$31)</f>
        <v>96000</v>
      </c>
      <c r="E4" s="186">
        <v>98137</v>
      </c>
      <c r="F4" s="147">
        <f t="shared" ref="F4:F15" si="0">IF((E4)/(E5+C4)&lt;1,(1-(E4)/(E5+C4))*(-1),(E4)/(E5+C4)-1)</f>
        <v>2.0421291238243988E-3</v>
      </c>
      <c r="G4" s="147">
        <f t="shared" ref="G4:G15" si="1">IF(E4/D4&lt;1,(1-E4/D4)*(-1),E4/D4-1)</f>
        <v>2.2260416666666671E-2</v>
      </c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</row>
    <row r="5" spans="1:20" x14ac:dyDescent="0.3">
      <c r="A5" s="152"/>
      <c r="B5" s="116" t="s">
        <v>36</v>
      </c>
      <c r="C5" s="186">
        <v>15000</v>
      </c>
      <c r="D5" s="186">
        <f>SUM(C5:$C$31)</f>
        <v>78500</v>
      </c>
      <c r="E5" s="186">
        <v>80437</v>
      </c>
      <c r="F5" s="147">
        <f t="shared" si="0"/>
        <v>7.9319332364291562E-3</v>
      </c>
      <c r="G5" s="147">
        <f t="shared" si="1"/>
        <v>2.4675159235668875E-2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</row>
    <row r="6" spans="1:20" x14ac:dyDescent="0.3">
      <c r="A6" s="152"/>
      <c r="B6" s="116" t="s">
        <v>37</v>
      </c>
      <c r="C6" s="186">
        <v>12500</v>
      </c>
      <c r="D6" s="186">
        <f>SUM(C6:$C$31)</f>
        <v>63500</v>
      </c>
      <c r="E6" s="186">
        <v>64804</v>
      </c>
      <c r="F6" s="147">
        <f t="shared" si="0"/>
        <v>-1.089776855215363E-2</v>
      </c>
      <c r="G6" s="147">
        <f t="shared" si="1"/>
        <v>2.0535433070866249E-2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</row>
    <row r="7" spans="1:20" x14ac:dyDescent="0.3">
      <c r="A7" s="152"/>
      <c r="B7" s="116" t="s">
        <v>38</v>
      </c>
      <c r="C7" s="186">
        <v>10000</v>
      </c>
      <c r="D7" s="186">
        <f>SUM(C7:$C$31)</f>
        <v>51000</v>
      </c>
      <c r="E7" s="186">
        <v>53018</v>
      </c>
      <c r="F7" s="147">
        <f t="shared" si="0"/>
        <v>1.9263303598892723E-2</v>
      </c>
      <c r="G7" s="147">
        <f t="shared" si="1"/>
        <v>3.9568627450980332E-2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</row>
    <row r="8" spans="1:20" x14ac:dyDescent="0.3">
      <c r="A8" s="152"/>
      <c r="B8" s="116" t="s">
        <v>39</v>
      </c>
      <c r="C8" s="186">
        <v>7500</v>
      </c>
      <c r="D8" s="186">
        <f>SUM(C8:$C$31)</f>
        <v>41000</v>
      </c>
      <c r="E8" s="186">
        <v>42016</v>
      </c>
      <c r="F8" s="147">
        <f t="shared" si="0"/>
        <v>2.4574714289122834E-3</v>
      </c>
      <c r="G8" s="147">
        <f t="shared" si="1"/>
        <v>2.4780487804878071E-2</v>
      </c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</row>
    <row r="9" spans="1:20" x14ac:dyDescent="0.3">
      <c r="A9" s="152"/>
      <c r="B9" s="116" t="s">
        <v>40</v>
      </c>
      <c r="C9" s="186">
        <v>5000</v>
      </c>
      <c r="D9" s="186">
        <f>SUM(C9:$C$31)</f>
        <v>33500</v>
      </c>
      <c r="E9" s="186">
        <v>34413</v>
      </c>
      <c r="F9" s="147">
        <f t="shared" si="0"/>
        <v>-1.3219017032746416E-2</v>
      </c>
      <c r="G9" s="147">
        <f t="shared" si="1"/>
        <v>2.7253731343283683E-2</v>
      </c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</row>
    <row r="10" spans="1:20" x14ac:dyDescent="0.3">
      <c r="A10" s="152"/>
      <c r="B10" s="116" t="s">
        <v>41</v>
      </c>
      <c r="C10" s="186">
        <v>5000</v>
      </c>
      <c r="D10" s="186">
        <f>SUM(C10:$C$31)</f>
        <v>28500</v>
      </c>
      <c r="E10" s="186">
        <v>29874</v>
      </c>
      <c r="F10" s="147">
        <f t="shared" si="0"/>
        <v>1.9555646564963558E-2</v>
      </c>
      <c r="G10" s="147">
        <f t="shared" si="1"/>
        <v>4.8210526315789481E-2</v>
      </c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</row>
    <row r="11" spans="1:20" x14ac:dyDescent="0.3">
      <c r="A11" s="152"/>
      <c r="B11" s="116" t="s">
        <v>8</v>
      </c>
      <c r="C11" s="186">
        <v>5000</v>
      </c>
      <c r="D11" s="186">
        <f>SUM(C11:$C$31)</f>
        <v>23500</v>
      </c>
      <c r="E11" s="186">
        <v>24301</v>
      </c>
      <c r="F11" s="147">
        <f t="shared" si="0"/>
        <v>2.1479613282892052E-2</v>
      </c>
      <c r="G11" s="147">
        <f t="shared" si="1"/>
        <v>3.4085106382978791E-2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</row>
    <row r="12" spans="1:20" x14ac:dyDescent="0.3">
      <c r="A12" s="152"/>
      <c r="B12" s="116" t="s">
        <v>42</v>
      </c>
      <c r="C12" s="186">
        <v>5000</v>
      </c>
      <c r="D12" s="186">
        <f>SUM(C12:$C$31)</f>
        <v>18500</v>
      </c>
      <c r="E12" s="186">
        <v>18790</v>
      </c>
      <c r="F12" s="147">
        <f t="shared" si="0"/>
        <v>1.6224986479177916E-2</v>
      </c>
      <c r="G12" s="147">
        <f t="shared" si="1"/>
        <v>1.5675675675675738E-2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</row>
    <row r="13" spans="1:20" x14ac:dyDescent="0.3">
      <c r="A13" s="152"/>
      <c r="B13" s="116" t="s">
        <v>43</v>
      </c>
      <c r="C13" s="186">
        <v>5000</v>
      </c>
      <c r="D13" s="186">
        <f>SUM(C13:$C$31)</f>
        <v>13500</v>
      </c>
      <c r="E13" s="186">
        <v>13490</v>
      </c>
      <c r="F13" s="147">
        <f t="shared" si="0"/>
        <v>3.0485537958211406E-3</v>
      </c>
      <c r="G13" s="147">
        <f t="shared" si="1"/>
        <v>-7.407407407407085E-4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</row>
    <row r="14" spans="1:20" x14ac:dyDescent="0.3">
      <c r="A14" s="152"/>
      <c r="B14" s="116" t="s">
        <v>44</v>
      </c>
      <c r="C14" s="186">
        <v>5000</v>
      </c>
      <c r="D14" s="186">
        <f>SUM(C14:$C$31)</f>
        <v>8500</v>
      </c>
      <c r="E14" s="186">
        <v>8449</v>
      </c>
      <c r="F14" s="147">
        <f t="shared" si="0"/>
        <v>-1.1821728336682824E-3</v>
      </c>
      <c r="G14" s="147">
        <f t="shared" si="1"/>
        <v>-6.0000000000000053E-3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</row>
    <row r="15" spans="1:20" x14ac:dyDescent="0.3">
      <c r="A15" s="153"/>
      <c r="B15" s="116" t="s">
        <v>34</v>
      </c>
      <c r="C15" s="186">
        <v>3500</v>
      </c>
      <c r="D15" s="186">
        <f>SUM(C15:$C$31)</f>
        <v>3500</v>
      </c>
      <c r="E15" s="186">
        <v>3459</v>
      </c>
      <c r="F15" s="147">
        <f t="shared" si="0"/>
        <v>-1.1714285714285677E-2</v>
      </c>
      <c r="G15" s="147">
        <f t="shared" si="1"/>
        <v>-1.1714285714285677E-2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</row>
    <row r="16" spans="1:20" x14ac:dyDescent="0.3">
      <c r="A16" s="148"/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</row>
    <row r="17" spans="1:18" x14ac:dyDescent="0.3">
      <c r="A17" s="148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</row>
    <row r="18" spans="1:18" x14ac:dyDescent="0.3">
      <c r="A18" s="148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</row>
    <row r="19" spans="1:18" x14ac:dyDescent="0.3">
      <c r="A19" s="148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</row>
    <row r="20" spans="1:18" x14ac:dyDescent="0.3">
      <c r="A20" s="148"/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</row>
    <row r="21" spans="1:18" x14ac:dyDescent="0.3">
      <c r="A21" s="148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</row>
    <row r="22" spans="1:18" x14ac:dyDescent="0.3"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</row>
    <row r="23" spans="1:18" x14ac:dyDescent="0.3"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</row>
    <row r="24" spans="1:18" ht="14.4" customHeight="1" x14ac:dyDescent="0.3"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</row>
    <row r="25" spans="1:18" x14ac:dyDescent="0.3"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</row>
    <row r="26" spans="1:18" x14ac:dyDescent="0.3"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</row>
    <row r="27" spans="1:18" x14ac:dyDescent="0.3"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</row>
  </sheetData>
  <mergeCells count="1">
    <mergeCell ref="A4:A15"/>
  </mergeCells>
  <conditionalFormatting sqref="F4:F15">
    <cfRule type="colorScale" priority="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G4:G15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paperSize="9" orientation="portrait" horizontalDpi="30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A1:M18"/>
  <sheetViews>
    <sheetView workbookViewId="0">
      <selection activeCell="F27" sqref="F27"/>
    </sheetView>
  </sheetViews>
  <sheetFormatPr defaultRowHeight="14.4" x14ac:dyDescent="0.3"/>
  <cols>
    <col min="1" max="1" width="3.77734375" style="130" customWidth="1"/>
    <col min="3" max="3" width="11.77734375" style="130" customWidth="1"/>
    <col min="4" max="4" width="10.109375" style="130" customWidth="1"/>
    <col min="12" max="12" width="11.33203125" style="130" bestFit="1" customWidth="1"/>
    <col min="13" max="13" width="10.33203125" style="130" bestFit="1" customWidth="1"/>
  </cols>
  <sheetData>
    <row r="1" spans="1:9" ht="14.4" customHeight="1" x14ac:dyDescent="0.3">
      <c r="A1" s="185" t="s">
        <v>30</v>
      </c>
      <c r="B1" s="185" t="s">
        <v>31</v>
      </c>
      <c r="C1" s="184" t="s">
        <v>45</v>
      </c>
      <c r="D1" s="183" t="s">
        <v>46</v>
      </c>
      <c r="E1" s="151" t="s">
        <v>1</v>
      </c>
      <c r="F1" s="148"/>
    </row>
    <row r="2" spans="1:9" x14ac:dyDescent="0.3">
      <c r="B2" s="1"/>
      <c r="C2" s="101"/>
      <c r="D2" s="101"/>
      <c r="E2" s="9"/>
      <c r="F2" s="148"/>
    </row>
    <row r="3" spans="1:9" x14ac:dyDescent="0.3">
      <c r="B3" s="1"/>
      <c r="C3" s="101"/>
      <c r="D3" s="101"/>
      <c r="E3" s="9"/>
      <c r="F3" s="148"/>
    </row>
    <row r="4" spans="1:9" x14ac:dyDescent="0.3">
      <c r="A4" s="163">
        <v>2025</v>
      </c>
      <c r="B4" s="114" t="s">
        <v>35</v>
      </c>
      <c r="C4" s="102">
        <v>149000</v>
      </c>
      <c r="D4" s="102">
        <v>3406</v>
      </c>
      <c r="E4" s="129">
        <f t="shared" ref="E4:E15" si="0">D4/C4</f>
        <v>2.2859060402684563E-2</v>
      </c>
      <c r="F4" s="148"/>
    </row>
    <row r="5" spans="1:9" ht="14.4" customHeight="1" x14ac:dyDescent="0.3">
      <c r="A5" s="152"/>
      <c r="B5" s="114" t="s">
        <v>36</v>
      </c>
      <c r="C5" s="102">
        <v>140000</v>
      </c>
      <c r="D5" s="102">
        <v>1809</v>
      </c>
      <c r="E5" s="129">
        <f t="shared" si="0"/>
        <v>1.2921428571428572E-2</v>
      </c>
      <c r="F5" s="148"/>
    </row>
    <row r="6" spans="1:9" x14ac:dyDescent="0.3">
      <c r="A6" s="152"/>
      <c r="B6" s="114" t="s">
        <v>37</v>
      </c>
      <c r="C6" s="102">
        <v>137700</v>
      </c>
      <c r="D6" s="102">
        <v>2219</v>
      </c>
      <c r="E6" s="129">
        <f t="shared" si="0"/>
        <v>1.6114742193173565E-2</v>
      </c>
      <c r="F6" s="148"/>
      <c r="I6" s="115"/>
    </row>
    <row r="7" spans="1:9" x14ac:dyDescent="0.3">
      <c r="A7" s="152"/>
      <c r="B7" s="114" t="s">
        <v>38</v>
      </c>
      <c r="C7" s="102">
        <v>135000</v>
      </c>
      <c r="D7" s="102">
        <v>2153</v>
      </c>
      <c r="E7" s="129">
        <f t="shared" si="0"/>
        <v>1.5948148148148149E-2</v>
      </c>
      <c r="F7" s="148"/>
    </row>
    <row r="8" spans="1:9" x14ac:dyDescent="0.3">
      <c r="A8" s="152"/>
      <c r="B8" s="114" t="s">
        <v>39</v>
      </c>
      <c r="C8" s="102">
        <v>125000</v>
      </c>
      <c r="D8" s="102">
        <v>1970</v>
      </c>
      <c r="E8" s="129">
        <f t="shared" si="0"/>
        <v>1.576E-2</v>
      </c>
      <c r="F8" s="148"/>
    </row>
    <row r="9" spans="1:9" x14ac:dyDescent="0.3">
      <c r="A9" s="152"/>
      <c r="B9" s="114" t="s">
        <v>40</v>
      </c>
      <c r="C9" s="102">
        <v>110000</v>
      </c>
      <c r="D9" s="102">
        <v>3150</v>
      </c>
      <c r="E9" s="129">
        <f t="shared" si="0"/>
        <v>2.8636363636363637E-2</v>
      </c>
      <c r="F9" s="148"/>
    </row>
    <row r="10" spans="1:9" x14ac:dyDescent="0.3">
      <c r="A10" s="152"/>
      <c r="B10" s="114" t="s">
        <v>41</v>
      </c>
      <c r="C10" s="102">
        <v>84500</v>
      </c>
      <c r="D10" s="102">
        <v>0</v>
      </c>
      <c r="E10" s="129">
        <f t="shared" si="0"/>
        <v>0</v>
      </c>
      <c r="F10" s="148"/>
    </row>
    <row r="11" spans="1:9" x14ac:dyDescent="0.3">
      <c r="A11" s="152"/>
      <c r="B11" s="114" t="s">
        <v>8</v>
      </c>
      <c r="C11" s="102">
        <v>81400</v>
      </c>
      <c r="D11" s="102">
        <v>0</v>
      </c>
      <c r="E11" s="129">
        <f t="shared" si="0"/>
        <v>0</v>
      </c>
      <c r="F11" s="148"/>
    </row>
    <row r="12" spans="1:9" x14ac:dyDescent="0.3">
      <c r="A12" s="152"/>
      <c r="B12" s="58" t="s">
        <v>42</v>
      </c>
      <c r="C12" s="102">
        <v>75600</v>
      </c>
      <c r="D12" s="102">
        <v>709</v>
      </c>
      <c r="E12" s="129">
        <f t="shared" si="0"/>
        <v>9.3783068783068781E-3</v>
      </c>
      <c r="F12" s="148"/>
    </row>
    <row r="13" spans="1:9" x14ac:dyDescent="0.3">
      <c r="A13" s="152"/>
      <c r="B13" s="114" t="s">
        <v>43</v>
      </c>
      <c r="C13" s="102">
        <v>59000</v>
      </c>
      <c r="D13" s="102">
        <v>540</v>
      </c>
      <c r="E13" s="129">
        <f t="shared" si="0"/>
        <v>9.1525423728813556E-3</v>
      </c>
      <c r="F13" s="148"/>
    </row>
    <row r="14" spans="1:9" x14ac:dyDescent="0.3">
      <c r="A14" s="152"/>
      <c r="B14" s="58" t="s">
        <v>44</v>
      </c>
      <c r="C14" s="102">
        <v>46000</v>
      </c>
      <c r="D14" s="102">
        <v>806</v>
      </c>
      <c r="E14" s="129">
        <f t="shared" si="0"/>
        <v>1.7521739130434782E-2</v>
      </c>
      <c r="F14" s="148"/>
    </row>
    <row r="15" spans="1:9" x14ac:dyDescent="0.3">
      <c r="A15" s="153"/>
      <c r="B15" s="114" t="s">
        <v>34</v>
      </c>
      <c r="C15" s="102">
        <v>42000</v>
      </c>
      <c r="D15" s="102">
        <v>764</v>
      </c>
      <c r="E15" s="129">
        <f t="shared" si="0"/>
        <v>1.8190476190476191E-2</v>
      </c>
      <c r="F15" s="148"/>
    </row>
    <row r="16" spans="1:9" x14ac:dyDescent="0.3">
      <c r="F16" s="148"/>
    </row>
    <row r="17" spans="6:6" x14ac:dyDescent="0.3">
      <c r="F17" s="148"/>
    </row>
    <row r="18" spans="6:6" x14ac:dyDescent="0.3">
      <c r="F18" s="148"/>
    </row>
  </sheetData>
  <mergeCells count="1">
    <mergeCell ref="A4:A15"/>
  </mergeCells>
  <conditionalFormatting sqref="E4:E15">
    <cfRule type="colorScale" priority="3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theme="9" tint="-0.249977111117893"/>
  </sheetPr>
  <dimension ref="A1:X21"/>
  <sheetViews>
    <sheetView workbookViewId="0">
      <selection activeCell="O26" sqref="O26"/>
    </sheetView>
  </sheetViews>
  <sheetFormatPr defaultRowHeight="14.4" x14ac:dyDescent="0.3"/>
  <cols>
    <col min="1" max="1" width="3.44140625" style="123" bestFit="1" customWidth="1"/>
    <col min="2" max="2" width="10.109375" style="120" customWidth="1"/>
    <col min="3" max="3" width="9.33203125" style="123" customWidth="1"/>
    <col min="4" max="4" width="9.88671875" style="123" bestFit="1" customWidth="1"/>
    <col min="5" max="5" width="7.6640625" style="123" customWidth="1"/>
    <col min="6" max="6" width="9" style="123" customWidth="1"/>
    <col min="7" max="7" width="6.44140625" style="123" customWidth="1"/>
    <col min="8" max="8" width="8.44140625" style="123" customWidth="1"/>
    <col min="9" max="9" width="12" style="123" bestFit="1" customWidth="1"/>
    <col min="10" max="10" width="10.77734375" style="123" customWidth="1"/>
    <col min="11" max="11" width="8.109375" style="123" bestFit="1" customWidth="1"/>
    <col min="12" max="16" width="8.109375" style="123" customWidth="1"/>
    <col min="17" max="17" width="10.77734375" style="123" bestFit="1" customWidth="1"/>
    <col min="18" max="18" width="10.77734375" style="123" customWidth="1"/>
    <col min="19" max="19" width="8.109375" style="123" bestFit="1" customWidth="1"/>
    <col min="20" max="20" width="8.77734375" style="123" bestFit="1" customWidth="1"/>
    <col min="21" max="21" width="7.77734375" style="123" customWidth="1"/>
    <col min="22" max="22" width="8.109375" style="123" bestFit="1" customWidth="1"/>
    <col min="23" max="99" width="8.88671875" style="123" customWidth="1"/>
    <col min="100" max="16384" width="8.88671875" style="123"/>
  </cols>
  <sheetData>
    <row r="1" spans="1:24" x14ac:dyDescent="0.3">
      <c r="A1" s="174"/>
      <c r="B1" s="167" t="s">
        <v>47</v>
      </c>
      <c r="C1" s="167" t="s">
        <v>48</v>
      </c>
      <c r="D1" s="169" t="s">
        <v>124</v>
      </c>
      <c r="E1" s="170"/>
      <c r="F1" s="170"/>
      <c r="G1" s="173"/>
      <c r="H1" s="169" t="s">
        <v>125</v>
      </c>
      <c r="I1" s="170"/>
      <c r="J1" s="170"/>
      <c r="K1" s="173"/>
      <c r="L1" s="169" t="s">
        <v>126</v>
      </c>
      <c r="M1" s="170"/>
      <c r="N1" s="170"/>
      <c r="O1" s="173"/>
      <c r="P1" s="169" t="s">
        <v>49</v>
      </c>
      <c r="Q1" s="170"/>
      <c r="R1" s="170"/>
      <c r="S1" s="171"/>
    </row>
    <row r="2" spans="1:24" ht="15" customHeight="1" thickBot="1" x14ac:dyDescent="0.35">
      <c r="A2" s="168"/>
      <c r="B2" s="168"/>
      <c r="C2" s="168"/>
      <c r="D2" s="133" t="s">
        <v>50</v>
      </c>
      <c r="E2" s="133" t="s">
        <v>16</v>
      </c>
      <c r="F2" s="133" t="s">
        <v>3</v>
      </c>
      <c r="G2" s="133" t="s">
        <v>51</v>
      </c>
      <c r="H2" s="133" t="s">
        <v>50</v>
      </c>
      <c r="I2" s="133" t="s">
        <v>16</v>
      </c>
      <c r="J2" s="133" t="s">
        <v>3</v>
      </c>
      <c r="K2" s="133" t="s">
        <v>51</v>
      </c>
      <c r="L2" s="133" t="s">
        <v>50</v>
      </c>
      <c r="M2" s="133" t="s">
        <v>16</v>
      </c>
      <c r="N2" s="133" t="s">
        <v>3</v>
      </c>
      <c r="O2" s="133" t="s">
        <v>51</v>
      </c>
      <c r="P2" s="133" t="s">
        <v>50</v>
      </c>
      <c r="Q2" s="133" t="s">
        <v>16</v>
      </c>
      <c r="R2" s="133" t="s">
        <v>3</v>
      </c>
      <c r="S2" s="134" t="s">
        <v>51</v>
      </c>
    </row>
    <row r="3" spans="1:24" ht="14.4" customHeight="1" thickBot="1" x14ac:dyDescent="0.35">
      <c r="A3" s="172" t="s">
        <v>52</v>
      </c>
      <c r="B3" s="135" t="s">
        <v>53</v>
      </c>
      <c r="C3" s="136">
        <v>5200</v>
      </c>
      <c r="D3" s="137">
        <v>0</v>
      </c>
      <c r="E3" s="137">
        <f t="shared" ref="E3:E20" si="0">ROUND(D3*C3,1)</f>
        <v>0</v>
      </c>
      <c r="F3" s="137">
        <f>ROUND(E3/E21*100, 2)</f>
        <v>0</v>
      </c>
      <c r="G3" s="164">
        <f>SUM(F3:F12)</f>
        <v>48.04</v>
      </c>
      <c r="H3" s="137">
        <v>1</v>
      </c>
      <c r="I3" s="137">
        <f t="shared" ref="I3:I20" si="1">ROUND(H3*C3,1)</f>
        <v>5200</v>
      </c>
      <c r="J3" s="137">
        <f>ROUND(I3/I21*100, 2)</f>
        <v>21.73</v>
      </c>
      <c r="K3" s="164">
        <f>SUM(J3:J12)</f>
        <v>91.960000000000008</v>
      </c>
      <c r="L3" s="137">
        <v>1</v>
      </c>
      <c r="M3" s="137">
        <f t="shared" ref="M3:M20" si="2">ROUND(L3*C3,1)</f>
        <v>5200</v>
      </c>
      <c r="N3" s="137">
        <f>ROUND(M3/M21*100, 2)</f>
        <v>33.96</v>
      </c>
      <c r="O3" s="164">
        <f>SUM(N3:N12)</f>
        <v>87.51</v>
      </c>
      <c r="P3" s="137">
        <f t="shared" ref="P3:P20" si="3">SUM(D3,H3,L3)</f>
        <v>2</v>
      </c>
      <c r="Q3" s="137">
        <f t="shared" ref="Q3:Q20" si="4">ROUND(P3*C3,1)</f>
        <v>10400</v>
      </c>
      <c r="R3" s="137">
        <f>ROUND(Q3/Q21*100, 2)</f>
        <v>15.57</v>
      </c>
      <c r="S3" s="164">
        <f>SUM(R3:R12)</f>
        <v>72.819999999999993</v>
      </c>
    </row>
    <row r="4" spans="1:24" x14ac:dyDescent="0.3">
      <c r="A4" s="165"/>
      <c r="B4" s="135" t="s">
        <v>54</v>
      </c>
      <c r="C4" s="136">
        <v>2400</v>
      </c>
      <c r="D4" s="137">
        <v>1</v>
      </c>
      <c r="E4" s="137">
        <f t="shared" si="0"/>
        <v>2400</v>
      </c>
      <c r="F4" s="137">
        <f>ROUND(E4/E21*100, 2)</f>
        <v>8.6999999999999993</v>
      </c>
      <c r="G4" s="165"/>
      <c r="H4" s="137">
        <v>0</v>
      </c>
      <c r="I4" s="137">
        <f t="shared" si="1"/>
        <v>0</v>
      </c>
      <c r="J4" s="137">
        <f>ROUND(I4/I21*100, 2)</f>
        <v>0</v>
      </c>
      <c r="K4" s="165"/>
      <c r="L4" s="137">
        <v>1</v>
      </c>
      <c r="M4" s="137">
        <f t="shared" si="2"/>
        <v>2400</v>
      </c>
      <c r="N4" s="137">
        <f>ROUND(M4/M21*100, 2)</f>
        <v>15.68</v>
      </c>
      <c r="O4" s="165"/>
      <c r="P4" s="137">
        <f t="shared" si="3"/>
        <v>2</v>
      </c>
      <c r="Q4" s="137">
        <f t="shared" si="4"/>
        <v>4800</v>
      </c>
      <c r="R4" s="137">
        <f>ROUND(Q4/Q21*100, 2)</f>
        <v>7.18</v>
      </c>
      <c r="S4" s="165"/>
      <c r="U4" s="82"/>
    </row>
    <row r="5" spans="1:24" x14ac:dyDescent="0.3">
      <c r="A5" s="165"/>
      <c r="B5" s="135" t="s">
        <v>55</v>
      </c>
      <c r="C5" s="136">
        <v>1100</v>
      </c>
      <c r="D5" s="137">
        <v>1</v>
      </c>
      <c r="E5" s="137">
        <f t="shared" si="0"/>
        <v>1100</v>
      </c>
      <c r="F5" s="137">
        <f>ROUND(E5/E21*100, 2)</f>
        <v>3.99</v>
      </c>
      <c r="G5" s="165"/>
      <c r="H5" s="137">
        <v>1</v>
      </c>
      <c r="I5" s="137">
        <f t="shared" si="1"/>
        <v>1100</v>
      </c>
      <c r="J5" s="137">
        <f>ROUND(I5/I21*100, 2)</f>
        <v>4.5999999999999996</v>
      </c>
      <c r="K5" s="165"/>
      <c r="L5" s="137">
        <v>1</v>
      </c>
      <c r="M5" s="137">
        <f t="shared" si="2"/>
        <v>1100</v>
      </c>
      <c r="N5" s="137">
        <f>ROUND(M5/M21*100, 2)</f>
        <v>7.18</v>
      </c>
      <c r="O5" s="165"/>
      <c r="P5" s="137">
        <f t="shared" si="3"/>
        <v>3</v>
      </c>
      <c r="Q5" s="137">
        <f t="shared" si="4"/>
        <v>3300</v>
      </c>
      <c r="R5" s="137">
        <f>ROUND(Q5/Q21*100, 2)</f>
        <v>4.9400000000000004</v>
      </c>
      <c r="S5" s="165"/>
      <c r="U5" s="82"/>
    </row>
    <row r="6" spans="1:24" x14ac:dyDescent="0.3">
      <c r="A6" s="165"/>
      <c r="B6" s="135" t="s">
        <v>56</v>
      </c>
      <c r="C6" s="136">
        <v>110</v>
      </c>
      <c r="D6" s="137">
        <v>5</v>
      </c>
      <c r="E6" s="137">
        <f t="shared" si="0"/>
        <v>550</v>
      </c>
      <c r="F6" s="137">
        <f>ROUND(E6/E21*100, 2)</f>
        <v>1.99</v>
      </c>
      <c r="G6" s="165"/>
      <c r="H6" s="137">
        <v>0</v>
      </c>
      <c r="I6" s="137">
        <f t="shared" si="1"/>
        <v>0</v>
      </c>
      <c r="J6" s="137">
        <f>ROUND(I6/I21*100, 2)</f>
        <v>0</v>
      </c>
      <c r="K6" s="165"/>
      <c r="L6" s="137">
        <v>0</v>
      </c>
      <c r="M6" s="137">
        <f t="shared" si="2"/>
        <v>0</v>
      </c>
      <c r="N6" s="137">
        <f>ROUND(M6/M21*100, 2)</f>
        <v>0</v>
      </c>
      <c r="O6" s="165"/>
      <c r="P6" s="137">
        <f t="shared" si="3"/>
        <v>5</v>
      </c>
      <c r="Q6" s="137">
        <f t="shared" si="4"/>
        <v>550</v>
      </c>
      <c r="R6" s="137">
        <f>ROUND(Q6/Q21*100, 2)</f>
        <v>0.82</v>
      </c>
      <c r="S6" s="165"/>
      <c r="U6" s="141"/>
      <c r="V6" s="142"/>
      <c r="W6" s="142"/>
      <c r="X6" s="142"/>
    </row>
    <row r="7" spans="1:24" x14ac:dyDescent="0.3">
      <c r="A7" s="165"/>
      <c r="B7" s="135" t="s">
        <v>57</v>
      </c>
      <c r="C7" s="136">
        <v>2800</v>
      </c>
      <c r="D7" s="137">
        <v>1</v>
      </c>
      <c r="E7" s="137">
        <f t="shared" si="0"/>
        <v>2800</v>
      </c>
      <c r="F7" s="137">
        <f>ROUND(E7/E21*100, 2)</f>
        <v>10.15</v>
      </c>
      <c r="G7" s="165"/>
      <c r="H7" s="137">
        <v>0</v>
      </c>
      <c r="I7" s="137">
        <f t="shared" si="1"/>
        <v>0</v>
      </c>
      <c r="J7" s="137">
        <f>ROUND(I7/I21*100, 2)</f>
        <v>0</v>
      </c>
      <c r="K7" s="165"/>
      <c r="L7" s="137">
        <v>0</v>
      </c>
      <c r="M7" s="137">
        <f t="shared" si="2"/>
        <v>0</v>
      </c>
      <c r="N7" s="137">
        <f>ROUND(M7/M21*100, 2)</f>
        <v>0</v>
      </c>
      <c r="O7" s="165"/>
      <c r="P7" s="137">
        <f t="shared" si="3"/>
        <v>1</v>
      </c>
      <c r="Q7" s="137">
        <f t="shared" si="4"/>
        <v>2800</v>
      </c>
      <c r="R7" s="137">
        <f>ROUND(Q7/Q21*100, 2)</f>
        <v>4.1900000000000004</v>
      </c>
      <c r="S7" s="165"/>
      <c r="U7" s="143"/>
      <c r="V7" s="142"/>
      <c r="W7" s="142"/>
      <c r="X7" s="142"/>
    </row>
    <row r="8" spans="1:24" x14ac:dyDescent="0.3">
      <c r="A8" s="165"/>
      <c r="B8" s="135" t="s">
        <v>59</v>
      </c>
      <c r="C8" s="136">
        <v>180</v>
      </c>
      <c r="D8" s="137">
        <v>10</v>
      </c>
      <c r="E8" s="137">
        <f t="shared" si="0"/>
        <v>1800</v>
      </c>
      <c r="F8" s="137">
        <f>ROUND(E8/E21*100, 2)</f>
        <v>6.53</v>
      </c>
      <c r="G8" s="165"/>
      <c r="H8" s="137">
        <v>0</v>
      </c>
      <c r="I8" s="137">
        <f t="shared" si="1"/>
        <v>0</v>
      </c>
      <c r="J8" s="137">
        <f>ROUND(I8/I21*100, 2)</f>
        <v>0</v>
      </c>
      <c r="K8" s="165"/>
      <c r="L8" s="137">
        <v>0</v>
      </c>
      <c r="M8" s="137">
        <f t="shared" si="2"/>
        <v>0</v>
      </c>
      <c r="N8" s="137">
        <f>ROUND(M8/M21*100, 2)</f>
        <v>0</v>
      </c>
      <c r="O8" s="165"/>
      <c r="P8" s="137">
        <f t="shared" si="3"/>
        <v>10</v>
      </c>
      <c r="Q8" s="137">
        <f t="shared" si="4"/>
        <v>1800</v>
      </c>
      <c r="R8" s="137">
        <f>ROUND(Q8/Q21*100, 2)</f>
        <v>2.69</v>
      </c>
      <c r="S8" s="165"/>
      <c r="U8" s="143"/>
      <c r="V8" s="142"/>
      <c r="W8" s="142"/>
      <c r="X8" s="142"/>
    </row>
    <row r="9" spans="1:24" x14ac:dyDescent="0.3">
      <c r="A9" s="165"/>
      <c r="B9" s="135" t="s">
        <v>60</v>
      </c>
      <c r="C9" s="136">
        <v>4500</v>
      </c>
      <c r="D9" s="137">
        <v>0</v>
      </c>
      <c r="E9" s="137">
        <f t="shared" si="0"/>
        <v>0</v>
      </c>
      <c r="F9" s="137">
        <f>ROUND(E9/E21*100, 2)</f>
        <v>0</v>
      </c>
      <c r="G9" s="165"/>
      <c r="H9" s="137">
        <v>1</v>
      </c>
      <c r="I9" s="137">
        <f t="shared" si="1"/>
        <v>4500</v>
      </c>
      <c r="J9" s="137">
        <f>ROUND(I9/I21*100, 2)</f>
        <v>18.809999999999999</v>
      </c>
      <c r="K9" s="165"/>
      <c r="L9" s="137">
        <v>0</v>
      </c>
      <c r="M9" s="137">
        <f t="shared" si="2"/>
        <v>0</v>
      </c>
      <c r="N9" s="137">
        <f>ROUND(M9/M21*100, 2)</f>
        <v>0</v>
      </c>
      <c r="O9" s="165"/>
      <c r="P9" s="137">
        <f t="shared" si="3"/>
        <v>1</v>
      </c>
      <c r="Q9" s="137">
        <f t="shared" si="4"/>
        <v>4500</v>
      </c>
      <c r="R9" s="137">
        <f>ROUND(Q9/Q21*100, 2)</f>
        <v>6.74</v>
      </c>
      <c r="S9" s="165"/>
    </row>
    <row r="10" spans="1:24" x14ac:dyDescent="0.3">
      <c r="A10" s="165"/>
      <c r="B10" s="135" t="s">
        <v>61</v>
      </c>
      <c r="C10" s="136">
        <v>4600</v>
      </c>
      <c r="D10" s="137">
        <v>1</v>
      </c>
      <c r="E10" s="137">
        <f t="shared" si="0"/>
        <v>4600</v>
      </c>
      <c r="F10" s="137">
        <f>ROUND(E10/E21*100, 2)</f>
        <v>16.68</v>
      </c>
      <c r="G10" s="165"/>
      <c r="H10" s="137">
        <v>1</v>
      </c>
      <c r="I10" s="137">
        <f t="shared" si="1"/>
        <v>4600</v>
      </c>
      <c r="J10" s="137">
        <f>ROUND(I10/I21*100, 2)</f>
        <v>19.23</v>
      </c>
      <c r="K10" s="165"/>
      <c r="L10" s="137">
        <v>0</v>
      </c>
      <c r="M10" s="137">
        <f t="shared" si="2"/>
        <v>0</v>
      </c>
      <c r="N10" s="137">
        <f>ROUND(M10/M21*100, 2)</f>
        <v>0</v>
      </c>
      <c r="O10" s="165"/>
      <c r="P10" s="137">
        <f t="shared" si="3"/>
        <v>2</v>
      </c>
      <c r="Q10" s="137">
        <f t="shared" si="4"/>
        <v>9200</v>
      </c>
      <c r="R10" s="137">
        <f>ROUND(Q10/Q21*100, 2)</f>
        <v>13.77</v>
      </c>
      <c r="S10" s="165"/>
    </row>
    <row r="11" spans="1:24" x14ac:dyDescent="0.3">
      <c r="A11" s="165"/>
      <c r="B11" s="135" t="s">
        <v>62</v>
      </c>
      <c r="C11" s="136">
        <v>3300</v>
      </c>
      <c r="D11" s="137">
        <v>0</v>
      </c>
      <c r="E11" s="137">
        <f t="shared" si="0"/>
        <v>0</v>
      </c>
      <c r="F11" s="137">
        <f>ROUND(E11/E21*100, 2)</f>
        <v>0</v>
      </c>
      <c r="G11" s="165"/>
      <c r="H11" s="137">
        <v>2</v>
      </c>
      <c r="I11" s="137">
        <f t="shared" si="1"/>
        <v>6600</v>
      </c>
      <c r="J11" s="137">
        <f>ROUND(I11/I21*100, 2)</f>
        <v>27.59</v>
      </c>
      <c r="K11" s="165"/>
      <c r="L11" s="137">
        <v>1</v>
      </c>
      <c r="M11" s="137">
        <f t="shared" si="2"/>
        <v>3300</v>
      </c>
      <c r="N11" s="137">
        <f>ROUND(M11/M21*100, 2)</f>
        <v>21.55</v>
      </c>
      <c r="O11" s="165"/>
      <c r="P11" s="137">
        <f t="shared" si="3"/>
        <v>3</v>
      </c>
      <c r="Q11" s="137">
        <f t="shared" si="4"/>
        <v>9900</v>
      </c>
      <c r="R11" s="137">
        <f>ROUND(Q11/Q21*100, 2)</f>
        <v>14.82</v>
      </c>
      <c r="S11" s="165"/>
    </row>
    <row r="12" spans="1:24" ht="15" customHeight="1" thickBot="1" x14ac:dyDescent="0.35">
      <c r="A12" s="175"/>
      <c r="B12" s="139" t="s">
        <v>68</v>
      </c>
      <c r="C12" s="134">
        <v>1400</v>
      </c>
      <c r="D12" s="140">
        <v>0</v>
      </c>
      <c r="E12" s="140">
        <f t="shared" si="0"/>
        <v>0</v>
      </c>
      <c r="F12" s="140">
        <f>ROUND(E12/E21*100, 2)</f>
        <v>0</v>
      </c>
      <c r="G12" s="166"/>
      <c r="H12" s="140">
        <v>0</v>
      </c>
      <c r="I12" s="140">
        <f t="shared" si="1"/>
        <v>0</v>
      </c>
      <c r="J12" s="140">
        <f>ROUND(I12/I21*100, 2)</f>
        <v>0</v>
      </c>
      <c r="K12" s="166"/>
      <c r="L12" s="140">
        <v>1</v>
      </c>
      <c r="M12" s="140">
        <f t="shared" si="2"/>
        <v>1400</v>
      </c>
      <c r="N12" s="140">
        <f>ROUND(M12/M21*100, 2)</f>
        <v>9.14</v>
      </c>
      <c r="O12" s="166"/>
      <c r="P12" s="140">
        <f t="shared" si="3"/>
        <v>1</v>
      </c>
      <c r="Q12" s="140">
        <f t="shared" si="4"/>
        <v>1400</v>
      </c>
      <c r="R12" s="140">
        <f>ROUND(Q12/Q21*100, 2)</f>
        <v>2.1</v>
      </c>
      <c r="S12" s="166"/>
    </row>
    <row r="13" spans="1:24" ht="14.4" customHeight="1" thickBot="1" x14ac:dyDescent="0.35">
      <c r="A13" s="172" t="s">
        <v>69</v>
      </c>
      <c r="B13" s="135" t="s">
        <v>70</v>
      </c>
      <c r="C13" s="136">
        <v>620</v>
      </c>
      <c r="D13" s="137">
        <v>1</v>
      </c>
      <c r="E13" s="137">
        <f t="shared" si="0"/>
        <v>620</v>
      </c>
      <c r="F13" s="137">
        <f>ROUND(E13/E21*100, 2)</f>
        <v>2.25</v>
      </c>
      <c r="G13" s="164">
        <f>SUM(F13:F17)</f>
        <v>15.67</v>
      </c>
      <c r="H13" s="137">
        <v>0</v>
      </c>
      <c r="I13" s="137">
        <f t="shared" si="1"/>
        <v>0</v>
      </c>
      <c r="J13" s="137">
        <f>ROUND(I13/I21*100, 2)</f>
        <v>0</v>
      </c>
      <c r="K13" s="164">
        <f>SUM(J13:J17)</f>
        <v>7.73</v>
      </c>
      <c r="L13" s="137">
        <v>0</v>
      </c>
      <c r="M13" s="137">
        <f t="shared" si="2"/>
        <v>0</v>
      </c>
      <c r="N13" s="137">
        <f>ROUND(M13/M21*100, 2)</f>
        <v>0</v>
      </c>
      <c r="O13" s="164">
        <f>SUM(N13:N17)</f>
        <v>5.94</v>
      </c>
      <c r="P13" s="137">
        <f t="shared" si="3"/>
        <v>1</v>
      </c>
      <c r="Q13" s="137">
        <f t="shared" si="4"/>
        <v>620</v>
      </c>
      <c r="R13" s="137">
        <f>ROUND(Q13/Q21*100, 2)</f>
        <v>0.93</v>
      </c>
      <c r="S13" s="164">
        <f>SUM(R13:R17)</f>
        <v>10.6</v>
      </c>
    </row>
    <row r="14" spans="1:24" x14ac:dyDescent="0.3">
      <c r="A14" s="165"/>
      <c r="B14" s="135" t="s">
        <v>71</v>
      </c>
      <c r="C14" s="136">
        <v>910</v>
      </c>
      <c r="D14" s="137">
        <v>2</v>
      </c>
      <c r="E14" s="137">
        <f t="shared" si="0"/>
        <v>1820</v>
      </c>
      <c r="F14" s="137">
        <f>ROUND(E14/E21*100, 2)</f>
        <v>6.6</v>
      </c>
      <c r="G14" s="165"/>
      <c r="H14" s="137">
        <v>1</v>
      </c>
      <c r="I14" s="137">
        <f t="shared" si="1"/>
        <v>910</v>
      </c>
      <c r="J14" s="137">
        <f>ROUND(I14/I21*100, 2)</f>
        <v>3.8</v>
      </c>
      <c r="K14" s="165"/>
      <c r="L14" s="137">
        <v>1</v>
      </c>
      <c r="M14" s="137">
        <f t="shared" si="2"/>
        <v>910</v>
      </c>
      <c r="N14" s="137">
        <f>ROUND(M14/M21*100, 2)</f>
        <v>5.94</v>
      </c>
      <c r="O14" s="165"/>
      <c r="P14" s="137">
        <f t="shared" si="3"/>
        <v>4</v>
      </c>
      <c r="Q14" s="137">
        <f t="shared" si="4"/>
        <v>3640</v>
      </c>
      <c r="R14" s="137">
        <f>ROUND(Q14/Q21*100, 2)</f>
        <v>5.45</v>
      </c>
      <c r="S14" s="165"/>
    </row>
    <row r="15" spans="1:24" x14ac:dyDescent="0.3">
      <c r="A15" s="165"/>
      <c r="B15" s="135" t="s">
        <v>72</v>
      </c>
      <c r="C15" s="136">
        <v>940</v>
      </c>
      <c r="D15" s="137">
        <v>2</v>
      </c>
      <c r="E15" s="137">
        <f t="shared" si="0"/>
        <v>1880</v>
      </c>
      <c r="F15" s="137">
        <f>ROUND(E15/E21*100, 2)</f>
        <v>6.82</v>
      </c>
      <c r="G15" s="165"/>
      <c r="H15" s="137">
        <v>1</v>
      </c>
      <c r="I15" s="137">
        <f t="shared" si="1"/>
        <v>940</v>
      </c>
      <c r="J15" s="137">
        <f>ROUND(I15/I21*100, 2)</f>
        <v>3.93</v>
      </c>
      <c r="K15" s="165"/>
      <c r="L15" s="137">
        <v>0</v>
      </c>
      <c r="M15" s="137">
        <f t="shared" si="2"/>
        <v>0</v>
      </c>
      <c r="N15" s="137">
        <f>ROUND(M15/M21*100, 2)</f>
        <v>0</v>
      </c>
      <c r="O15" s="165"/>
      <c r="P15" s="137">
        <f t="shared" si="3"/>
        <v>3</v>
      </c>
      <c r="Q15" s="137">
        <f t="shared" si="4"/>
        <v>2820</v>
      </c>
      <c r="R15" s="137">
        <f>ROUND(Q15/Q21*100, 2)</f>
        <v>4.22</v>
      </c>
      <c r="S15" s="165"/>
    </row>
    <row r="16" spans="1:24" ht="15" customHeight="1" x14ac:dyDescent="0.3">
      <c r="A16" s="165"/>
      <c r="B16" s="135" t="s">
        <v>73</v>
      </c>
      <c r="C16" s="136">
        <v>920</v>
      </c>
      <c r="D16" s="137">
        <v>0</v>
      </c>
      <c r="E16" s="137">
        <f t="shared" si="0"/>
        <v>0</v>
      </c>
      <c r="F16" s="137">
        <f>ROUND(E16/E21*100, 2)</f>
        <v>0</v>
      </c>
      <c r="G16" s="165"/>
      <c r="H16" s="137">
        <v>0</v>
      </c>
      <c r="I16" s="137">
        <f t="shared" si="1"/>
        <v>0</v>
      </c>
      <c r="J16" s="137">
        <f>ROUND(I16/I21*100, 2)</f>
        <v>0</v>
      </c>
      <c r="K16" s="165"/>
      <c r="L16" s="137">
        <v>0</v>
      </c>
      <c r="M16" s="137">
        <f t="shared" si="2"/>
        <v>0</v>
      </c>
      <c r="N16" s="137">
        <f>ROUND(M16/M21*100, 2)</f>
        <v>0</v>
      </c>
      <c r="O16" s="165"/>
      <c r="P16" s="137">
        <f t="shared" si="3"/>
        <v>0</v>
      </c>
      <c r="Q16" s="137">
        <f t="shared" si="4"/>
        <v>0</v>
      </c>
      <c r="R16" s="137">
        <f>ROUND(Q16/Q21*100, 2)</f>
        <v>0</v>
      </c>
      <c r="S16" s="165"/>
    </row>
    <row r="17" spans="1:19" ht="15" customHeight="1" thickBot="1" x14ac:dyDescent="0.35">
      <c r="A17" s="175"/>
      <c r="B17" s="139" t="s">
        <v>74</v>
      </c>
      <c r="C17" s="134">
        <v>850</v>
      </c>
      <c r="D17" s="140">
        <v>0</v>
      </c>
      <c r="E17" s="140">
        <f t="shared" si="0"/>
        <v>0</v>
      </c>
      <c r="F17" s="140">
        <f>ROUND(E17/E21*100, 2)</f>
        <v>0</v>
      </c>
      <c r="G17" s="166"/>
      <c r="H17" s="140">
        <v>0</v>
      </c>
      <c r="I17" s="140">
        <f t="shared" si="1"/>
        <v>0</v>
      </c>
      <c r="J17" s="140">
        <f>ROUND(I17/I21*100, 2)</f>
        <v>0</v>
      </c>
      <c r="K17" s="166"/>
      <c r="L17" s="140">
        <v>0</v>
      </c>
      <c r="M17" s="140">
        <f t="shared" si="2"/>
        <v>0</v>
      </c>
      <c r="N17" s="140">
        <f>ROUND(M17/M21*100, 2)</f>
        <v>0</v>
      </c>
      <c r="O17" s="166"/>
      <c r="P17" s="140">
        <f t="shared" si="3"/>
        <v>0</v>
      </c>
      <c r="Q17" s="140">
        <f t="shared" si="4"/>
        <v>0</v>
      </c>
      <c r="R17" s="140">
        <f>ROUND(Q17/Q21*100, 2)</f>
        <v>0</v>
      </c>
      <c r="S17" s="166"/>
    </row>
    <row r="18" spans="1:19" ht="15" customHeight="1" thickBot="1" x14ac:dyDescent="0.35">
      <c r="A18" s="172" t="s">
        <v>75</v>
      </c>
      <c r="B18" s="135" t="s">
        <v>76</v>
      </c>
      <c r="C18" s="136">
        <v>2</v>
      </c>
      <c r="D18" s="137">
        <v>5000</v>
      </c>
      <c r="E18" s="137">
        <f t="shared" si="0"/>
        <v>10000</v>
      </c>
      <c r="F18" s="137">
        <f>ROUND(E18/E21*100, 2)</f>
        <v>36.26</v>
      </c>
      <c r="G18" s="164">
        <f>SUM(F18:F19)</f>
        <v>36.26</v>
      </c>
      <c r="H18" s="137">
        <v>0</v>
      </c>
      <c r="I18" s="137">
        <f t="shared" si="1"/>
        <v>0</v>
      </c>
      <c r="J18" s="137">
        <f>ROUND(I18/I21*100, 2)</f>
        <v>0</v>
      </c>
      <c r="K18" s="164">
        <f>SUM(J18:J19)</f>
        <v>0</v>
      </c>
      <c r="L18" s="137">
        <v>0</v>
      </c>
      <c r="M18" s="137">
        <f t="shared" si="2"/>
        <v>0</v>
      </c>
      <c r="N18" s="137">
        <f>ROUND(M18/M21*100, 2)</f>
        <v>0</v>
      </c>
      <c r="O18" s="164">
        <f>SUM(N18:N19)</f>
        <v>0</v>
      </c>
      <c r="P18" s="137">
        <f t="shared" si="3"/>
        <v>5000</v>
      </c>
      <c r="Q18" s="137">
        <f t="shared" si="4"/>
        <v>10000</v>
      </c>
      <c r="R18" s="137">
        <f>ROUND(Q18/Q21*100, 2)</f>
        <v>14.97</v>
      </c>
      <c r="S18" s="164">
        <f>SUM(R18:R19)</f>
        <v>14.97</v>
      </c>
    </row>
    <row r="19" spans="1:19" ht="15" customHeight="1" thickBot="1" x14ac:dyDescent="0.35">
      <c r="A19" s="175"/>
      <c r="B19" s="139" t="s">
        <v>77</v>
      </c>
      <c r="C19" s="134">
        <v>40</v>
      </c>
      <c r="D19" s="140">
        <v>0</v>
      </c>
      <c r="E19" s="140">
        <f t="shared" si="0"/>
        <v>0</v>
      </c>
      <c r="F19" s="140">
        <f>ROUND(E19/E21*100, 2)</f>
        <v>0</v>
      </c>
      <c r="G19" s="166"/>
      <c r="H19" s="140">
        <v>0</v>
      </c>
      <c r="I19" s="140">
        <f t="shared" si="1"/>
        <v>0</v>
      </c>
      <c r="J19" s="140">
        <f>ROUND(I19/I21*100, 2)</f>
        <v>0</v>
      </c>
      <c r="K19" s="166"/>
      <c r="L19" s="140">
        <v>0</v>
      </c>
      <c r="M19" s="140">
        <f t="shared" si="2"/>
        <v>0</v>
      </c>
      <c r="N19" s="140">
        <f>ROUND(M19/M21*100, 2)</f>
        <v>0</v>
      </c>
      <c r="O19" s="166"/>
      <c r="P19" s="140">
        <f t="shared" si="3"/>
        <v>0</v>
      </c>
      <c r="Q19" s="140">
        <f t="shared" si="4"/>
        <v>0</v>
      </c>
      <c r="R19" s="140">
        <f>ROUND(Q19/Q21*100, 2)</f>
        <v>0</v>
      </c>
      <c r="S19" s="166"/>
    </row>
    <row r="20" spans="1:19" ht="15" customHeight="1" thickBot="1" x14ac:dyDescent="0.35">
      <c r="A20" s="172" t="s">
        <v>78</v>
      </c>
      <c r="B20" s="139" t="s">
        <v>127</v>
      </c>
      <c r="C20" s="134">
        <v>1</v>
      </c>
      <c r="D20" s="140">
        <v>10</v>
      </c>
      <c r="E20" s="140">
        <f t="shared" si="0"/>
        <v>10</v>
      </c>
      <c r="F20" s="140">
        <f>ROUND(E20/E21*100, 2)</f>
        <v>0.04</v>
      </c>
      <c r="G20" s="138">
        <f>SUM(F20:F20)</f>
        <v>0.04</v>
      </c>
      <c r="H20" s="140">
        <v>75</v>
      </c>
      <c r="I20" s="140">
        <f t="shared" si="1"/>
        <v>75</v>
      </c>
      <c r="J20" s="140">
        <f>ROUND(I20/I21*100, 2)</f>
        <v>0.31</v>
      </c>
      <c r="K20" s="138">
        <f>SUM(J20:J20)</f>
        <v>0.31</v>
      </c>
      <c r="L20" s="140">
        <v>1000</v>
      </c>
      <c r="M20" s="140">
        <f t="shared" si="2"/>
        <v>1000</v>
      </c>
      <c r="N20" s="140">
        <f>ROUND(M20/M21*100, 2)</f>
        <v>6.53</v>
      </c>
      <c r="O20" s="138">
        <f>SUM(N20:N20)</f>
        <v>6.53</v>
      </c>
      <c r="P20" s="140">
        <f t="shared" si="3"/>
        <v>1085</v>
      </c>
      <c r="Q20" s="140">
        <f t="shared" si="4"/>
        <v>1085</v>
      </c>
      <c r="R20" s="140">
        <f>ROUND(Q20/Q21*100, 2)</f>
        <v>1.62</v>
      </c>
      <c r="S20" s="138">
        <f>SUM(R20:R20)</f>
        <v>1.62</v>
      </c>
    </row>
    <row r="21" spans="1:19" x14ac:dyDescent="0.3">
      <c r="E21">
        <f>SUM(E3:E20)</f>
        <v>27580</v>
      </c>
      <c r="I21">
        <f>SUM(I3:I20)</f>
        <v>23925</v>
      </c>
      <c r="M21">
        <f>SUM(M3:M20)</f>
        <v>15310</v>
      </c>
      <c r="Q21">
        <f>SUM(Q3:Q20)</f>
        <v>66815</v>
      </c>
    </row>
  </sheetData>
  <mergeCells count="23">
    <mergeCell ref="A20"/>
    <mergeCell ref="K13:K17"/>
    <mergeCell ref="O13:O17"/>
    <mergeCell ref="G18:G19"/>
    <mergeCell ref="L1:O1"/>
    <mergeCell ref="A1:A2"/>
    <mergeCell ref="A13:A17"/>
    <mergeCell ref="G13:G17"/>
    <mergeCell ref="A18:A19"/>
    <mergeCell ref="K18:K19"/>
    <mergeCell ref="D1:G1"/>
    <mergeCell ref="B1:B2"/>
    <mergeCell ref="H1:K1"/>
    <mergeCell ref="G3:G12"/>
    <mergeCell ref="A3:A12"/>
    <mergeCell ref="S18:S19"/>
    <mergeCell ref="K3:K12"/>
    <mergeCell ref="O3:O12"/>
    <mergeCell ref="C1:C2"/>
    <mergeCell ref="S3:S12"/>
    <mergeCell ref="S13:S17"/>
    <mergeCell ref="P1:S1"/>
    <mergeCell ref="O18:O19"/>
  </mergeCells>
  <pageMargins left="0.7" right="0.7" top="0.75" bottom="0.75" header="0.3" footer="0.3"/>
  <pageSetup paperSize="9" orientation="portrait" horizontalDpi="3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0">
    <tabColor theme="9" tint="-0.249977111117893"/>
  </sheetPr>
  <dimension ref="A1:Z46"/>
  <sheetViews>
    <sheetView tabSelected="1" workbookViewId="0">
      <selection activeCell="H19" sqref="H19"/>
    </sheetView>
  </sheetViews>
  <sheetFormatPr defaultRowHeight="14.4" x14ac:dyDescent="0.3"/>
  <cols>
    <col min="1" max="1" width="14.5546875" style="130" customWidth="1"/>
    <col min="2" max="3" width="15.21875" style="130" bestFit="1" customWidth="1"/>
    <col min="4" max="4" width="15.21875" style="130" customWidth="1"/>
    <col min="5" max="6" width="15.21875" style="130" bestFit="1" customWidth="1"/>
    <col min="7" max="8" width="14.21875" style="130" bestFit="1" customWidth="1"/>
    <col min="9" max="9" width="15.109375" style="130" customWidth="1"/>
    <col min="10" max="14" width="15.21875" style="130" bestFit="1" customWidth="1"/>
  </cols>
  <sheetData>
    <row r="1" spans="1:26" ht="15" customHeight="1" thickBot="1" x14ac:dyDescent="0.35">
      <c r="A1" s="42" t="s">
        <v>30</v>
      </c>
      <c r="B1" s="176">
        <v>2025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77"/>
    </row>
    <row r="2" spans="1:26" ht="15" customHeight="1" thickBot="1" x14ac:dyDescent="0.35">
      <c r="A2" s="43" t="s">
        <v>31</v>
      </c>
      <c r="B2" s="132" t="s">
        <v>2</v>
      </c>
      <c r="C2" s="52" t="s">
        <v>5</v>
      </c>
      <c r="D2" s="52" t="s">
        <v>6</v>
      </c>
      <c r="E2" s="52" t="s">
        <v>7</v>
      </c>
      <c r="F2" s="52" t="s">
        <v>8</v>
      </c>
      <c r="G2" s="52" t="s">
        <v>9</v>
      </c>
      <c r="H2" s="54" t="s">
        <v>10</v>
      </c>
      <c r="I2" s="54" t="s">
        <v>11</v>
      </c>
      <c r="J2" s="52" t="s">
        <v>12</v>
      </c>
      <c r="K2" s="52" t="s">
        <v>13</v>
      </c>
      <c r="L2" s="52" t="s">
        <v>14</v>
      </c>
      <c r="M2" s="56" t="s">
        <v>15</v>
      </c>
    </row>
    <row r="3" spans="1:26" x14ac:dyDescent="0.3">
      <c r="A3" s="44" t="s">
        <v>130</v>
      </c>
      <c r="B3" s="49">
        <f>33049+3459</f>
        <v>36508</v>
      </c>
      <c r="C3" s="124">
        <f>34920+8449</f>
        <v>43369</v>
      </c>
      <c r="D3" s="124">
        <f>41973+13490</f>
        <v>55463</v>
      </c>
      <c r="E3" s="124">
        <f>44381+18790</f>
        <v>63171</v>
      </c>
      <c r="F3" s="124">
        <f>49371+24301</f>
        <v>73672</v>
      </c>
      <c r="G3" s="55">
        <f>54927+29874</f>
        <v>84801</v>
      </c>
      <c r="H3" s="55">
        <f>59271+34413</f>
        <v>93684</v>
      </c>
      <c r="I3" s="55">
        <f>69127+42016</f>
        <v>111143</v>
      </c>
      <c r="J3" s="124">
        <f>80408+53018</f>
        <v>133426</v>
      </c>
      <c r="K3" s="124">
        <f>91837+64804</f>
        <v>156641</v>
      </c>
      <c r="L3" s="131">
        <f>101237+80437</f>
        <v>181674</v>
      </c>
      <c r="M3" s="131">
        <f>112073+98137</f>
        <v>210210</v>
      </c>
    </row>
    <row r="4" spans="1:26" x14ac:dyDescent="0.3">
      <c r="A4" s="45" t="s">
        <v>27</v>
      </c>
      <c r="B4" s="50">
        <v>42000</v>
      </c>
      <c r="C4" s="124">
        <v>46000</v>
      </c>
      <c r="D4" s="145">
        <v>59000</v>
      </c>
      <c r="E4" s="124">
        <v>75600</v>
      </c>
      <c r="F4" s="124">
        <v>81400</v>
      </c>
      <c r="G4" s="124">
        <v>84500</v>
      </c>
      <c r="H4" s="124">
        <v>110000</v>
      </c>
      <c r="I4" s="124">
        <v>125000</v>
      </c>
      <c r="J4" s="124">
        <v>135000</v>
      </c>
      <c r="K4" s="124">
        <v>137700</v>
      </c>
      <c r="L4" s="131">
        <v>140000</v>
      </c>
      <c r="M4" s="131">
        <v>149000</v>
      </c>
    </row>
    <row r="5" spans="1:26" x14ac:dyDescent="0.3">
      <c r="A5" s="44" t="s">
        <v>128</v>
      </c>
      <c r="B5" s="50">
        <v>26707</v>
      </c>
      <c r="C5" s="124">
        <v>25347</v>
      </c>
      <c r="D5" s="124">
        <v>25790</v>
      </c>
      <c r="E5" s="124">
        <v>25706</v>
      </c>
      <c r="F5" s="124">
        <v>28709</v>
      </c>
      <c r="G5" s="124">
        <v>29780</v>
      </c>
      <c r="H5" s="124">
        <v>34098</v>
      </c>
      <c r="I5" s="124">
        <v>33049</v>
      </c>
      <c r="J5" s="124">
        <v>33848</v>
      </c>
      <c r="K5" s="124">
        <v>35987</v>
      </c>
      <c r="L5" s="131">
        <v>35713</v>
      </c>
      <c r="M5" s="131">
        <v>34982</v>
      </c>
    </row>
    <row r="6" spans="1:26" ht="15" customHeight="1" thickBot="1" x14ac:dyDescent="0.35">
      <c r="A6" s="46" t="s">
        <v>131</v>
      </c>
      <c r="B6" s="51">
        <v>16272</v>
      </c>
      <c r="C6" s="53">
        <v>16380</v>
      </c>
      <c r="D6" s="53">
        <v>16178</v>
      </c>
      <c r="E6" s="53">
        <v>16270</v>
      </c>
      <c r="F6" s="53">
        <v>8709</v>
      </c>
      <c r="G6" s="53">
        <v>8803</v>
      </c>
      <c r="H6" s="53">
        <v>8709</v>
      </c>
      <c r="I6" s="53">
        <v>8504</v>
      </c>
      <c r="J6" s="53">
        <v>8645</v>
      </c>
      <c r="K6" s="53">
        <v>8742</v>
      </c>
      <c r="L6" s="113">
        <v>8637</v>
      </c>
      <c r="M6" s="113">
        <v>8712</v>
      </c>
    </row>
    <row r="7" spans="1:26" ht="15" customHeight="1" thickBot="1" x14ac:dyDescent="0.35">
      <c r="A7" s="47" t="s">
        <v>79</v>
      </c>
      <c r="B7" s="103">
        <f>SUM(B3:B6)</f>
        <v>121487</v>
      </c>
      <c r="C7" s="103">
        <f t="shared" ref="C7:M7" si="0">SUM(C3:C6)</f>
        <v>131096</v>
      </c>
      <c r="D7" s="103">
        <f t="shared" si="0"/>
        <v>156431</v>
      </c>
      <c r="E7" s="103">
        <f t="shared" si="0"/>
        <v>180747</v>
      </c>
      <c r="F7" s="103">
        <f t="shared" si="0"/>
        <v>192490</v>
      </c>
      <c r="G7" s="103">
        <f t="shared" si="0"/>
        <v>207884</v>
      </c>
      <c r="H7" s="103">
        <f t="shared" si="0"/>
        <v>246491</v>
      </c>
      <c r="I7" s="103">
        <f t="shared" si="0"/>
        <v>277696</v>
      </c>
      <c r="J7" s="103">
        <f t="shared" si="0"/>
        <v>310919</v>
      </c>
      <c r="K7" s="103">
        <f t="shared" si="0"/>
        <v>339070</v>
      </c>
      <c r="L7" s="103">
        <f t="shared" si="0"/>
        <v>366024</v>
      </c>
      <c r="M7" s="103">
        <f t="shared" si="0"/>
        <v>402904</v>
      </c>
    </row>
    <row r="8" spans="1:26" ht="15" thickBot="1" x14ac:dyDescent="0.35">
      <c r="A8" s="44" t="s">
        <v>129</v>
      </c>
      <c r="B8" s="124">
        <v>718</v>
      </c>
      <c r="C8" s="124">
        <v>3158</v>
      </c>
      <c r="D8" s="124">
        <v>1245</v>
      </c>
      <c r="E8" s="124">
        <v>5745</v>
      </c>
      <c r="F8" s="124">
        <v>542</v>
      </c>
      <c r="G8" s="124">
        <v>4512</v>
      </c>
      <c r="H8" s="124">
        <v>3551</v>
      </c>
      <c r="I8" s="124">
        <v>675</v>
      </c>
      <c r="J8" s="124">
        <v>14520</v>
      </c>
      <c r="K8" s="124">
        <v>2442</v>
      </c>
      <c r="L8" s="131">
        <v>3452</v>
      </c>
      <c r="M8" s="131">
        <v>360</v>
      </c>
    </row>
    <row r="9" spans="1:26" ht="15" customHeight="1" thickBot="1" x14ac:dyDescent="0.35">
      <c r="A9" s="48" t="s">
        <v>79</v>
      </c>
      <c r="B9" s="103">
        <f>SUM(B8:B8)</f>
        <v>718</v>
      </c>
      <c r="C9" s="103">
        <f t="shared" ref="C9:M9" si="1">SUM(C8:C8)</f>
        <v>3158</v>
      </c>
      <c r="D9" s="103">
        <f t="shared" si="1"/>
        <v>1245</v>
      </c>
      <c r="E9" s="103">
        <f t="shared" si="1"/>
        <v>5745</v>
      </c>
      <c r="F9" s="103">
        <f t="shared" si="1"/>
        <v>542</v>
      </c>
      <c r="G9" s="103">
        <f t="shared" si="1"/>
        <v>4512</v>
      </c>
      <c r="H9" s="103">
        <f t="shared" si="1"/>
        <v>3551</v>
      </c>
      <c r="I9" s="103">
        <f t="shared" si="1"/>
        <v>675</v>
      </c>
      <c r="J9" s="103">
        <f t="shared" si="1"/>
        <v>14520</v>
      </c>
      <c r="K9" s="103">
        <f t="shared" si="1"/>
        <v>2442</v>
      </c>
      <c r="L9" s="103">
        <f t="shared" si="1"/>
        <v>3452</v>
      </c>
      <c r="M9" s="103">
        <f t="shared" si="1"/>
        <v>360</v>
      </c>
    </row>
    <row r="10" spans="1:26" ht="15" customHeight="1" thickBot="1" x14ac:dyDescent="0.35">
      <c r="A10" s="47" t="s">
        <v>49</v>
      </c>
      <c r="B10" s="104">
        <f>SUM(B9,B7)</f>
        <v>122205</v>
      </c>
      <c r="C10" s="104">
        <f t="shared" ref="C10:M10" si="2">SUM(C9,C7)</f>
        <v>134254</v>
      </c>
      <c r="D10" s="104">
        <f t="shared" si="2"/>
        <v>157676</v>
      </c>
      <c r="E10" s="104">
        <f t="shared" si="2"/>
        <v>186492</v>
      </c>
      <c r="F10" s="104">
        <f t="shared" si="2"/>
        <v>193032</v>
      </c>
      <c r="G10" s="104">
        <f t="shared" si="2"/>
        <v>212396</v>
      </c>
      <c r="H10" s="104">
        <f t="shared" si="2"/>
        <v>250042</v>
      </c>
      <c r="I10" s="104">
        <f t="shared" si="2"/>
        <v>278371</v>
      </c>
      <c r="J10" s="104">
        <f t="shared" si="2"/>
        <v>325439</v>
      </c>
      <c r="K10" s="104">
        <f t="shared" si="2"/>
        <v>341512</v>
      </c>
      <c r="L10" s="104">
        <f t="shared" si="2"/>
        <v>369476</v>
      </c>
      <c r="M10" s="104">
        <f t="shared" si="2"/>
        <v>403264</v>
      </c>
    </row>
    <row r="12" spans="1:26" ht="15" customHeight="1" thickBot="1" x14ac:dyDescent="0.35"/>
    <row r="13" spans="1:26" ht="15" customHeight="1" thickBot="1" x14ac:dyDescent="0.35">
      <c r="A13" s="42" t="s">
        <v>30</v>
      </c>
      <c r="B13" s="176">
        <v>2024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77"/>
    </row>
    <row r="14" spans="1:26" ht="15" customHeight="1" thickBot="1" x14ac:dyDescent="0.35">
      <c r="A14" s="43" t="s">
        <v>31</v>
      </c>
      <c r="B14" s="150" t="s">
        <v>2</v>
      </c>
      <c r="C14" s="52" t="s">
        <v>5</v>
      </c>
      <c r="D14" s="52" t="s">
        <v>6</v>
      </c>
      <c r="E14" s="52" t="s">
        <v>7</v>
      </c>
      <c r="F14" s="52" t="s">
        <v>8</v>
      </c>
      <c r="G14" s="52" t="s">
        <v>9</v>
      </c>
      <c r="H14" s="54" t="s">
        <v>10</v>
      </c>
      <c r="I14" s="54" t="s">
        <v>11</v>
      </c>
      <c r="J14" s="52" t="s">
        <v>12</v>
      </c>
      <c r="K14" s="52" t="s">
        <v>13</v>
      </c>
      <c r="L14" s="52" t="s">
        <v>14</v>
      </c>
      <c r="M14" s="56" t="s">
        <v>15</v>
      </c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x14ac:dyDescent="0.3">
      <c r="A15" s="44" t="s">
        <v>130</v>
      </c>
      <c r="B15" s="49">
        <v>4832</v>
      </c>
      <c r="C15" s="145">
        <v>4886</v>
      </c>
      <c r="D15" s="145">
        <v>9973</v>
      </c>
      <c r="E15" s="145">
        <v>10670</v>
      </c>
      <c r="F15" s="145">
        <v>9834</v>
      </c>
      <c r="G15" s="55">
        <v>14732</v>
      </c>
      <c r="H15" s="55">
        <v>15987</v>
      </c>
      <c r="I15" s="55">
        <v>17632</v>
      </c>
      <c r="J15" s="145">
        <v>20345</v>
      </c>
      <c r="K15" s="145">
        <v>22984</v>
      </c>
      <c r="L15" s="149">
        <v>24976</v>
      </c>
      <c r="M15" s="149">
        <v>29310</v>
      </c>
    </row>
    <row r="16" spans="1:26" x14ac:dyDescent="0.3">
      <c r="A16" s="45" t="s">
        <v>27</v>
      </c>
      <c r="B16" s="50">
        <v>0</v>
      </c>
      <c r="C16" s="145">
        <v>0</v>
      </c>
      <c r="D16" s="145">
        <v>0</v>
      </c>
      <c r="E16" s="145">
        <v>0</v>
      </c>
      <c r="F16" s="145">
        <v>0</v>
      </c>
      <c r="G16" s="145">
        <v>0</v>
      </c>
      <c r="H16" s="145">
        <v>0</v>
      </c>
      <c r="I16" s="145">
        <v>0</v>
      </c>
      <c r="J16" s="145">
        <v>0</v>
      </c>
      <c r="K16" s="145">
        <v>0</v>
      </c>
      <c r="L16" s="149">
        <v>0</v>
      </c>
      <c r="M16" s="149">
        <v>0</v>
      </c>
    </row>
    <row r="17" spans="1:19" x14ac:dyDescent="0.3">
      <c r="A17" s="44" t="s">
        <v>128</v>
      </c>
      <c r="B17" s="50">
        <v>14605</v>
      </c>
      <c r="C17" s="145">
        <v>15809</v>
      </c>
      <c r="D17" s="145">
        <v>15348</v>
      </c>
      <c r="E17" s="145">
        <v>15207</v>
      </c>
      <c r="F17" s="145">
        <v>14907</v>
      </c>
      <c r="G17" s="145">
        <v>14827</v>
      </c>
      <c r="H17" s="145">
        <v>14370</v>
      </c>
      <c r="I17" s="145">
        <v>14907</v>
      </c>
      <c r="J17" s="145">
        <v>15048</v>
      </c>
      <c r="K17" s="145">
        <v>15148</v>
      </c>
      <c r="L17" s="149">
        <v>15045</v>
      </c>
      <c r="M17" s="149">
        <v>25400</v>
      </c>
    </row>
    <row r="18" spans="1:19" ht="15" thickBot="1" x14ac:dyDescent="0.35">
      <c r="A18" s="46" t="s">
        <v>131</v>
      </c>
      <c r="B18" s="51">
        <v>7500</v>
      </c>
      <c r="C18" s="53">
        <v>7400</v>
      </c>
      <c r="D18" s="53">
        <v>7450</v>
      </c>
      <c r="E18" s="53">
        <v>7432</v>
      </c>
      <c r="F18" s="53">
        <v>7657</v>
      </c>
      <c r="G18" s="53">
        <v>7746</v>
      </c>
      <c r="H18" s="53">
        <v>7809</v>
      </c>
      <c r="I18" s="53">
        <v>7795</v>
      </c>
      <c r="J18" s="53">
        <v>14492</v>
      </c>
      <c r="K18" s="53">
        <v>15904</v>
      </c>
      <c r="L18" s="113">
        <v>16007</v>
      </c>
      <c r="M18" s="113">
        <v>15827</v>
      </c>
    </row>
    <row r="19" spans="1:19" ht="15" thickBot="1" x14ac:dyDescent="0.35">
      <c r="A19" s="47" t="s">
        <v>79</v>
      </c>
      <c r="B19" s="103">
        <f>SUM(B15:B18)</f>
        <v>26937</v>
      </c>
      <c r="C19" s="103">
        <f t="shared" ref="C19:M19" si="3">SUM(C15:C18)</f>
        <v>28095</v>
      </c>
      <c r="D19" s="103">
        <f t="shared" si="3"/>
        <v>32771</v>
      </c>
      <c r="E19" s="103">
        <f t="shared" si="3"/>
        <v>33309</v>
      </c>
      <c r="F19" s="103">
        <f t="shared" si="3"/>
        <v>32398</v>
      </c>
      <c r="G19" s="103">
        <f t="shared" si="3"/>
        <v>37305</v>
      </c>
      <c r="H19" s="103">
        <f t="shared" si="3"/>
        <v>38166</v>
      </c>
      <c r="I19" s="103">
        <f t="shared" si="3"/>
        <v>40334</v>
      </c>
      <c r="J19" s="103">
        <f t="shared" si="3"/>
        <v>49885</v>
      </c>
      <c r="K19" s="103">
        <f t="shared" si="3"/>
        <v>54036</v>
      </c>
      <c r="L19" s="103">
        <f t="shared" si="3"/>
        <v>56028</v>
      </c>
      <c r="M19" s="103">
        <f t="shared" si="3"/>
        <v>70537</v>
      </c>
      <c r="O19" s="60"/>
      <c r="Q19" s="60"/>
      <c r="S19" s="60"/>
    </row>
    <row r="20" spans="1:19" ht="15" thickBot="1" x14ac:dyDescent="0.35">
      <c r="A20" s="44" t="s">
        <v>129</v>
      </c>
      <c r="B20" s="145">
        <v>1137</v>
      </c>
      <c r="C20" s="145">
        <v>3546</v>
      </c>
      <c r="D20" s="145">
        <v>1923</v>
      </c>
      <c r="E20" s="145">
        <v>1985</v>
      </c>
      <c r="F20" s="145">
        <v>13579</v>
      </c>
      <c r="G20" s="145">
        <v>13523</v>
      </c>
      <c r="H20" s="145">
        <v>9816</v>
      </c>
      <c r="I20" s="145">
        <v>134</v>
      </c>
      <c r="J20" s="145">
        <v>764</v>
      </c>
      <c r="K20" s="145">
        <v>461</v>
      </c>
      <c r="L20" s="149">
        <v>1635</v>
      </c>
      <c r="M20" s="149">
        <v>4354</v>
      </c>
    </row>
    <row r="21" spans="1:19" ht="15" thickBot="1" x14ac:dyDescent="0.35">
      <c r="A21" s="48" t="s">
        <v>79</v>
      </c>
      <c r="B21" s="103">
        <f>SUM(B20:B20)</f>
        <v>1137</v>
      </c>
      <c r="C21" s="103">
        <f t="shared" ref="C21:M21" si="4">SUM(C20:C20)</f>
        <v>3546</v>
      </c>
      <c r="D21" s="103">
        <f t="shared" si="4"/>
        <v>1923</v>
      </c>
      <c r="E21" s="103">
        <f t="shared" si="4"/>
        <v>1985</v>
      </c>
      <c r="F21" s="103">
        <f t="shared" si="4"/>
        <v>13579</v>
      </c>
      <c r="G21" s="103">
        <f t="shared" si="4"/>
        <v>13523</v>
      </c>
      <c r="H21" s="103">
        <f t="shared" si="4"/>
        <v>9816</v>
      </c>
      <c r="I21" s="103">
        <f t="shared" si="4"/>
        <v>134</v>
      </c>
      <c r="J21" s="103">
        <f t="shared" si="4"/>
        <v>764</v>
      </c>
      <c r="K21" s="103">
        <f t="shared" si="4"/>
        <v>461</v>
      </c>
      <c r="L21" s="103">
        <f t="shared" si="4"/>
        <v>1635</v>
      </c>
      <c r="M21" s="103">
        <f t="shared" si="4"/>
        <v>4354</v>
      </c>
    </row>
    <row r="22" spans="1:19" ht="15" customHeight="1" thickBot="1" x14ac:dyDescent="0.35">
      <c r="A22" s="47" t="s">
        <v>49</v>
      </c>
      <c r="B22" s="104">
        <f>SUM(B21,B19)</f>
        <v>28074</v>
      </c>
      <c r="C22" s="104">
        <f t="shared" ref="C22:M22" si="5">SUM(C21,C19)</f>
        <v>31641</v>
      </c>
      <c r="D22" s="104">
        <f t="shared" si="5"/>
        <v>34694</v>
      </c>
      <c r="E22" s="104">
        <f t="shared" si="5"/>
        <v>35294</v>
      </c>
      <c r="F22" s="104">
        <f t="shared" si="5"/>
        <v>45977</v>
      </c>
      <c r="G22" s="104">
        <f t="shared" si="5"/>
        <v>50828</v>
      </c>
      <c r="H22" s="104">
        <f t="shared" si="5"/>
        <v>47982</v>
      </c>
      <c r="I22" s="104">
        <f t="shared" si="5"/>
        <v>40468</v>
      </c>
      <c r="J22" s="104">
        <f t="shared" si="5"/>
        <v>50649</v>
      </c>
      <c r="K22" s="104">
        <f t="shared" si="5"/>
        <v>54497</v>
      </c>
      <c r="L22" s="104">
        <f t="shared" si="5"/>
        <v>57663</v>
      </c>
      <c r="M22" s="104">
        <f t="shared" si="5"/>
        <v>74891</v>
      </c>
    </row>
    <row r="23" spans="1:19" ht="15" customHeight="1" x14ac:dyDescent="0.3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</row>
    <row r="24" spans="1:19" x14ac:dyDescent="0.3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</row>
    <row r="25" spans="1:19" ht="15" customHeight="1" x14ac:dyDescent="0.3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</row>
    <row r="26" spans="1:19" ht="15" customHeight="1" x14ac:dyDescent="0.3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</row>
    <row r="27" spans="1:19" ht="15" customHeight="1" x14ac:dyDescent="0.3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</row>
    <row r="28" spans="1:19" x14ac:dyDescent="0.3">
      <c r="B28" s="61"/>
      <c r="C28" s="61"/>
      <c r="D28" s="61"/>
      <c r="E28" s="61"/>
      <c r="F28" s="61"/>
      <c r="G28" s="61"/>
      <c r="H28" s="148"/>
      <c r="I28" s="61"/>
      <c r="J28" s="61"/>
      <c r="K28" s="61"/>
      <c r="L28" s="61"/>
      <c r="M28" s="61"/>
    </row>
    <row r="29" spans="1:19" x14ac:dyDescent="0.3">
      <c r="A29" s="148"/>
      <c r="B29" s="148"/>
      <c r="C29" s="148"/>
      <c r="D29" s="144"/>
      <c r="E29" s="144"/>
      <c r="F29" s="144"/>
      <c r="G29" s="144"/>
      <c r="H29" s="148"/>
      <c r="I29" s="144"/>
      <c r="J29" s="144"/>
      <c r="K29" s="144"/>
      <c r="L29" s="144"/>
      <c r="M29" s="144"/>
    </row>
    <row r="30" spans="1:19" x14ac:dyDescent="0.3">
      <c r="A30" s="148"/>
      <c r="B30" s="148"/>
      <c r="C30" s="148"/>
      <c r="D30" s="144"/>
      <c r="E30" s="144"/>
      <c r="F30" s="144"/>
      <c r="G30" s="144"/>
      <c r="H30" s="148"/>
      <c r="I30" s="144"/>
      <c r="J30" s="144"/>
      <c r="K30" s="144"/>
      <c r="L30" s="144"/>
      <c r="M30" s="144"/>
      <c r="N30" s="144"/>
    </row>
    <row r="31" spans="1:19" x14ac:dyDescent="0.3">
      <c r="A31" s="148"/>
      <c r="B31" s="148"/>
      <c r="C31" s="148"/>
      <c r="D31" s="144"/>
      <c r="E31" s="144"/>
      <c r="F31" s="144"/>
      <c r="G31" s="144"/>
      <c r="H31" s="148"/>
      <c r="I31" s="144"/>
      <c r="J31" s="144"/>
      <c r="K31" s="144"/>
      <c r="L31" s="144"/>
      <c r="M31" s="144"/>
      <c r="N31" s="144"/>
    </row>
    <row r="32" spans="1:19" x14ac:dyDescent="0.3">
      <c r="A32" s="148"/>
      <c r="B32" s="148"/>
      <c r="C32" s="148"/>
      <c r="D32" s="144"/>
      <c r="E32" s="144"/>
      <c r="F32" s="144"/>
      <c r="G32" s="144"/>
      <c r="H32" s="148"/>
      <c r="I32" s="144"/>
      <c r="J32" s="144"/>
      <c r="K32" s="144"/>
      <c r="L32" s="144"/>
      <c r="M32" s="144"/>
      <c r="N32" s="144"/>
    </row>
    <row r="33" spans="1:14" x14ac:dyDescent="0.3">
      <c r="A33" s="148"/>
      <c r="B33" s="148"/>
      <c r="C33" s="148"/>
      <c r="D33" s="144"/>
      <c r="E33" s="144"/>
      <c r="F33" s="144"/>
      <c r="G33" s="144"/>
      <c r="H33" s="148"/>
      <c r="I33" s="144"/>
      <c r="J33" s="144"/>
      <c r="K33" s="144"/>
      <c r="L33" s="144"/>
      <c r="M33" s="144"/>
      <c r="N33" s="144"/>
    </row>
    <row r="34" spans="1:14" x14ac:dyDescent="0.3">
      <c r="A34" s="148"/>
      <c r="B34" s="148"/>
      <c r="C34" s="148"/>
      <c r="D34" s="144"/>
      <c r="E34" s="144"/>
      <c r="F34" s="144"/>
      <c r="G34" s="144"/>
      <c r="H34" s="148"/>
      <c r="I34" s="144"/>
      <c r="J34" s="144"/>
      <c r="K34" s="144"/>
      <c r="L34" s="144"/>
      <c r="M34" s="144"/>
      <c r="N34" s="144"/>
    </row>
    <row r="35" spans="1:14" x14ac:dyDescent="0.3">
      <c r="A35" s="148"/>
      <c r="B35" s="148"/>
      <c r="C35" s="148"/>
      <c r="D35" s="144"/>
      <c r="E35" s="144"/>
      <c r="F35" s="144"/>
      <c r="G35" s="144"/>
      <c r="H35" s="148"/>
      <c r="I35" s="144"/>
      <c r="J35" s="144"/>
      <c r="K35" s="144"/>
      <c r="L35" s="144"/>
      <c r="M35" s="144"/>
      <c r="N35" s="144"/>
    </row>
    <row r="36" spans="1:14" x14ac:dyDescent="0.3">
      <c r="A36" s="148"/>
      <c r="B36" s="148"/>
      <c r="C36" s="148"/>
      <c r="D36" s="144"/>
      <c r="E36" s="144"/>
      <c r="F36" s="144"/>
      <c r="G36" s="144"/>
      <c r="H36" s="148"/>
      <c r="I36" s="144"/>
      <c r="J36" s="144"/>
      <c r="K36" s="144"/>
      <c r="L36" s="144"/>
      <c r="M36" s="144"/>
      <c r="N36" s="144"/>
    </row>
    <row r="37" spans="1:14" x14ac:dyDescent="0.3">
      <c r="A37" s="148"/>
      <c r="B37" s="148"/>
      <c r="C37" s="148"/>
      <c r="D37" s="144"/>
      <c r="E37" s="144"/>
      <c r="F37" s="144"/>
      <c r="G37" s="144"/>
      <c r="H37" s="148"/>
      <c r="I37" s="144"/>
      <c r="J37" s="144"/>
      <c r="K37" s="144"/>
      <c r="L37" s="144"/>
      <c r="M37" s="144"/>
      <c r="N37" s="144"/>
    </row>
    <row r="38" spans="1:14" x14ac:dyDescent="0.3">
      <c r="A38" s="148"/>
      <c r="B38" s="148"/>
      <c r="C38" s="148"/>
      <c r="E38" s="144"/>
      <c r="F38" s="144"/>
      <c r="G38" s="144"/>
      <c r="H38" s="148"/>
      <c r="I38" s="144"/>
      <c r="J38" s="144"/>
      <c r="K38" s="144"/>
      <c r="L38" s="144"/>
      <c r="M38" s="144"/>
      <c r="N38" s="144"/>
    </row>
    <row r="39" spans="1:14" x14ac:dyDescent="0.3">
      <c r="A39" s="148"/>
      <c r="B39" s="148"/>
      <c r="C39" s="148"/>
      <c r="D39" s="144"/>
      <c r="E39" s="144"/>
      <c r="F39" s="144"/>
      <c r="G39" s="144"/>
      <c r="H39" s="148"/>
      <c r="I39" s="144"/>
      <c r="J39" s="144"/>
      <c r="K39" s="144"/>
      <c r="L39" s="144"/>
      <c r="M39" s="144"/>
      <c r="N39" s="144"/>
    </row>
    <row r="40" spans="1:14" x14ac:dyDescent="0.3">
      <c r="A40" s="148"/>
      <c r="B40" s="148"/>
      <c r="C40" s="148"/>
      <c r="D40" s="144"/>
      <c r="E40" s="144"/>
      <c r="F40" s="144"/>
      <c r="G40" s="144"/>
      <c r="H40" s="148"/>
      <c r="I40" s="144"/>
      <c r="J40" s="144"/>
      <c r="K40" s="144"/>
      <c r="L40" s="144"/>
      <c r="M40" s="144"/>
      <c r="N40" s="144"/>
    </row>
    <row r="41" spans="1:14" x14ac:dyDescent="0.3">
      <c r="A41" s="148"/>
      <c r="B41" s="148"/>
      <c r="C41" s="148"/>
      <c r="D41" s="144"/>
      <c r="E41" s="144"/>
      <c r="F41" s="144"/>
      <c r="G41" s="144"/>
      <c r="H41" s="148"/>
      <c r="I41" s="144"/>
      <c r="J41" s="144"/>
      <c r="K41" s="144"/>
      <c r="L41" s="144"/>
      <c r="M41" s="144"/>
      <c r="N41" s="144"/>
    </row>
    <row r="42" spans="1:14" x14ac:dyDescent="0.3">
      <c r="A42" s="148"/>
      <c r="B42" s="148"/>
      <c r="C42" s="148"/>
      <c r="D42" s="144"/>
      <c r="E42" s="144"/>
      <c r="F42" s="144"/>
      <c r="G42" s="144"/>
      <c r="H42" s="148"/>
      <c r="I42" s="144"/>
      <c r="J42" s="144"/>
      <c r="K42" s="144"/>
      <c r="L42" s="144"/>
      <c r="M42" s="144"/>
      <c r="N42" s="144"/>
    </row>
    <row r="43" spans="1:14" x14ac:dyDescent="0.3">
      <c r="A43" s="148"/>
      <c r="B43" s="148"/>
      <c r="C43" s="148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</row>
    <row r="44" spans="1:14" x14ac:dyDescent="0.3">
      <c r="A44" s="148"/>
      <c r="B44" s="148"/>
      <c r="C44" s="148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</row>
    <row r="45" spans="1:14" x14ac:dyDescent="0.3">
      <c r="A45" s="148"/>
      <c r="B45" s="148"/>
      <c r="C45" s="148"/>
    </row>
    <row r="46" spans="1:14" x14ac:dyDescent="0.3">
      <c r="A46" s="148"/>
      <c r="B46" s="148"/>
      <c r="C46" s="148"/>
    </row>
  </sheetData>
  <mergeCells count="2">
    <mergeCell ref="B1:M1"/>
    <mergeCell ref="B13:M13"/>
  </mergeCells>
  <pageMargins left="0.7" right="0.7" top="0.75" bottom="0.75" header="0.3" footer="0.3"/>
  <pageSetup paperSize="9"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249977111117893"/>
  </sheetPr>
  <dimension ref="A1:M22"/>
  <sheetViews>
    <sheetView workbookViewId="0">
      <selection activeCell="N30" sqref="N30"/>
    </sheetView>
  </sheetViews>
  <sheetFormatPr defaultRowHeight="14.4" x14ac:dyDescent="0.3"/>
  <cols>
    <col min="2" max="2" width="10.88671875" style="130" customWidth="1"/>
    <col min="3" max="3" width="11.6640625" style="130" customWidth="1"/>
    <col min="4" max="4" width="11.21875" style="130" customWidth="1"/>
    <col min="5" max="5" width="11" style="130" customWidth="1"/>
    <col min="6" max="7" width="10.109375" style="130" bestFit="1" customWidth="1"/>
    <col min="8" max="8" width="10.33203125" style="130" customWidth="1"/>
    <col min="9" max="9" width="9.88671875" style="130" customWidth="1"/>
    <col min="10" max="10" width="9.5546875" style="130" customWidth="1"/>
  </cols>
  <sheetData>
    <row r="1" spans="1:13" ht="58.2" customHeight="1" thickBot="1" x14ac:dyDescent="0.35">
      <c r="A1" s="178"/>
      <c r="B1" s="155"/>
      <c r="C1" s="64" t="s">
        <v>80</v>
      </c>
      <c r="D1" s="63" t="s">
        <v>81</v>
      </c>
      <c r="E1" s="63" t="s">
        <v>82</v>
      </c>
      <c r="F1" s="63" t="s">
        <v>83</v>
      </c>
      <c r="G1" s="63" t="s">
        <v>84</v>
      </c>
      <c r="H1" s="73" t="s">
        <v>85</v>
      </c>
      <c r="I1" s="77" t="s">
        <v>86</v>
      </c>
      <c r="J1" s="121"/>
      <c r="K1" s="120" t="s">
        <v>87</v>
      </c>
      <c r="L1" s="120" t="s">
        <v>88</v>
      </c>
      <c r="M1" s="121" t="s">
        <v>89</v>
      </c>
    </row>
    <row r="2" spans="1:13" x14ac:dyDescent="0.3">
      <c r="A2" s="62" t="s">
        <v>65</v>
      </c>
      <c r="B2" s="65" t="s">
        <v>90</v>
      </c>
      <c r="C2" s="10">
        <v>1</v>
      </c>
      <c r="D2" s="125">
        <v>1</v>
      </c>
      <c r="E2" s="89">
        <v>1</v>
      </c>
      <c r="F2" s="79">
        <v>1</v>
      </c>
      <c r="G2" s="94">
        <v>1</v>
      </c>
      <c r="H2" s="70"/>
      <c r="I2" s="74">
        <f t="shared" ref="I2:I17" si="0">SUM(C2:H2)</f>
        <v>5</v>
      </c>
      <c r="K2" s="105" t="s">
        <v>91</v>
      </c>
      <c r="L2" s="82">
        <v>45732</v>
      </c>
      <c r="M2" t="s">
        <v>92</v>
      </c>
    </row>
    <row r="3" spans="1:13" x14ac:dyDescent="0.3">
      <c r="A3" s="8" t="s">
        <v>59</v>
      </c>
      <c r="B3" s="66" t="s">
        <v>93</v>
      </c>
      <c r="C3" s="126"/>
      <c r="D3" s="2"/>
      <c r="E3" s="89">
        <v>1</v>
      </c>
      <c r="F3" s="2"/>
      <c r="G3" s="94">
        <v>1</v>
      </c>
      <c r="H3" s="71"/>
      <c r="I3" s="75">
        <f t="shared" si="0"/>
        <v>2</v>
      </c>
      <c r="K3" s="105" t="s">
        <v>91</v>
      </c>
      <c r="L3" s="82">
        <v>45732</v>
      </c>
      <c r="M3" t="s">
        <v>94</v>
      </c>
    </row>
    <row r="4" spans="1:13" x14ac:dyDescent="0.3">
      <c r="A4" s="8" t="s">
        <v>54</v>
      </c>
      <c r="B4" s="59" t="s">
        <v>54</v>
      </c>
      <c r="C4" s="126">
        <v>1</v>
      </c>
      <c r="D4" s="2">
        <v>1</v>
      </c>
      <c r="E4" s="89">
        <v>1</v>
      </c>
      <c r="F4" s="89">
        <v>1</v>
      </c>
      <c r="G4" s="94">
        <v>1</v>
      </c>
      <c r="H4" s="71"/>
      <c r="I4" s="75">
        <f t="shared" si="0"/>
        <v>5</v>
      </c>
      <c r="K4" s="106" t="s">
        <v>95</v>
      </c>
      <c r="L4" s="82">
        <v>45732</v>
      </c>
      <c r="M4" s="123" t="s">
        <v>96</v>
      </c>
    </row>
    <row r="5" spans="1:13" x14ac:dyDescent="0.3">
      <c r="A5" s="8" t="s">
        <v>58</v>
      </c>
      <c r="B5" s="59" t="s">
        <v>97</v>
      </c>
      <c r="C5" s="126"/>
      <c r="D5" s="2"/>
      <c r="E5" s="89">
        <v>1</v>
      </c>
      <c r="F5" s="2"/>
      <c r="G5" s="91">
        <v>1</v>
      </c>
      <c r="H5" s="71">
        <v>1</v>
      </c>
      <c r="I5" s="75">
        <f t="shared" si="0"/>
        <v>3</v>
      </c>
      <c r="K5" s="106" t="s">
        <v>95</v>
      </c>
      <c r="L5" s="82">
        <v>45732</v>
      </c>
      <c r="M5" s="123" t="s">
        <v>98</v>
      </c>
    </row>
    <row r="6" spans="1:13" x14ac:dyDescent="0.3">
      <c r="A6" s="8" t="s">
        <v>55</v>
      </c>
      <c r="B6" s="66" t="s">
        <v>99</v>
      </c>
      <c r="C6" s="126"/>
      <c r="D6" s="2"/>
      <c r="E6" s="80">
        <v>1</v>
      </c>
      <c r="F6" s="2"/>
      <c r="G6" s="2"/>
      <c r="H6" s="71"/>
      <c r="I6" s="75">
        <f t="shared" si="0"/>
        <v>1</v>
      </c>
      <c r="K6" s="107" t="s">
        <v>100</v>
      </c>
      <c r="L6" s="82">
        <v>45732</v>
      </c>
      <c r="M6" s="123" t="s">
        <v>101</v>
      </c>
    </row>
    <row r="7" spans="1:13" x14ac:dyDescent="0.3">
      <c r="A7" s="8" t="s">
        <v>66</v>
      </c>
      <c r="B7" s="59" t="s">
        <v>102</v>
      </c>
      <c r="C7" s="126">
        <v>1</v>
      </c>
      <c r="D7" s="2">
        <v>1</v>
      </c>
      <c r="E7" s="2"/>
      <c r="F7" s="2"/>
      <c r="G7" s="94">
        <v>1</v>
      </c>
      <c r="H7" s="71"/>
      <c r="I7" s="75">
        <f t="shared" si="0"/>
        <v>3</v>
      </c>
      <c r="K7" s="107" t="s">
        <v>100</v>
      </c>
      <c r="L7" s="82">
        <v>45732</v>
      </c>
      <c r="M7" s="123" t="s">
        <v>103</v>
      </c>
    </row>
    <row r="8" spans="1:13" x14ac:dyDescent="0.3">
      <c r="A8" s="8" t="s">
        <v>63</v>
      </c>
      <c r="B8" s="59" t="s">
        <v>104</v>
      </c>
      <c r="C8" s="126">
        <v>1</v>
      </c>
      <c r="D8" s="2">
        <v>1</v>
      </c>
      <c r="E8" s="2"/>
      <c r="F8" s="2"/>
      <c r="G8" s="94">
        <v>1</v>
      </c>
      <c r="H8" s="71"/>
      <c r="I8" s="75">
        <f t="shared" si="0"/>
        <v>3</v>
      </c>
      <c r="K8" s="107" t="s">
        <v>100</v>
      </c>
      <c r="L8" s="82">
        <v>45732</v>
      </c>
      <c r="M8" s="123" t="s">
        <v>103</v>
      </c>
    </row>
    <row r="9" spans="1:13" x14ac:dyDescent="0.3">
      <c r="A9" s="8" t="s">
        <v>61</v>
      </c>
      <c r="B9" s="66" t="s">
        <v>25</v>
      </c>
      <c r="C9" s="126">
        <v>1</v>
      </c>
      <c r="D9" s="2"/>
      <c r="E9" s="89">
        <v>1</v>
      </c>
      <c r="F9" s="80">
        <v>1</v>
      </c>
      <c r="G9" s="94">
        <v>1</v>
      </c>
      <c r="H9" s="71"/>
      <c r="I9" s="75">
        <f t="shared" si="0"/>
        <v>4</v>
      </c>
      <c r="K9" s="106" t="s">
        <v>95</v>
      </c>
      <c r="L9" s="82">
        <v>45732</v>
      </c>
      <c r="M9" s="123" t="s">
        <v>96</v>
      </c>
    </row>
    <row r="10" spans="1:13" x14ac:dyDescent="0.3">
      <c r="A10" s="8" t="s">
        <v>67</v>
      </c>
      <c r="B10" s="66" t="s">
        <v>105</v>
      </c>
      <c r="C10" s="126"/>
      <c r="D10" s="2"/>
      <c r="E10" s="89">
        <v>1</v>
      </c>
      <c r="F10" s="84">
        <v>1</v>
      </c>
      <c r="G10" s="86">
        <v>1</v>
      </c>
      <c r="H10" s="71"/>
      <c r="I10" s="75">
        <f t="shared" si="0"/>
        <v>3</v>
      </c>
      <c r="K10" s="106" t="s">
        <v>95</v>
      </c>
      <c r="L10" s="82">
        <v>45732</v>
      </c>
      <c r="M10" s="123" t="s">
        <v>106</v>
      </c>
    </row>
    <row r="11" spans="1:13" x14ac:dyDescent="0.3">
      <c r="A11" s="8" t="s">
        <v>56</v>
      </c>
      <c r="B11" s="66" t="s">
        <v>107</v>
      </c>
      <c r="C11" s="126">
        <v>1</v>
      </c>
      <c r="D11" s="2">
        <v>1</v>
      </c>
      <c r="E11" s="89">
        <v>1</v>
      </c>
      <c r="F11" s="2"/>
      <c r="G11" s="89">
        <v>1</v>
      </c>
      <c r="H11" s="71"/>
      <c r="I11" s="75">
        <f t="shared" si="0"/>
        <v>4</v>
      </c>
      <c r="K11" s="105" t="s">
        <v>91</v>
      </c>
      <c r="L11" s="82">
        <v>45732</v>
      </c>
      <c r="M11" s="123" t="s">
        <v>108</v>
      </c>
    </row>
    <row r="12" spans="1:13" x14ac:dyDescent="0.3">
      <c r="A12" s="8" t="s">
        <v>60</v>
      </c>
      <c r="B12" s="66" t="s">
        <v>109</v>
      </c>
      <c r="C12" s="126">
        <v>1</v>
      </c>
      <c r="D12" s="2"/>
      <c r="E12" s="2"/>
      <c r="F12" s="2"/>
      <c r="G12" s="2"/>
      <c r="H12" s="71"/>
      <c r="I12" s="75">
        <f t="shared" si="0"/>
        <v>1</v>
      </c>
      <c r="K12" s="105" t="s">
        <v>91</v>
      </c>
      <c r="L12" s="82">
        <v>45732</v>
      </c>
      <c r="M12" s="123" t="s">
        <v>110</v>
      </c>
    </row>
    <row r="13" spans="1:13" x14ac:dyDescent="0.3">
      <c r="A13" s="8" t="s">
        <v>68</v>
      </c>
      <c r="B13" s="66" t="s">
        <v>111</v>
      </c>
      <c r="C13" s="126"/>
      <c r="D13" s="2">
        <v>1</v>
      </c>
      <c r="E13" s="89">
        <v>1</v>
      </c>
      <c r="F13" s="2"/>
      <c r="G13" s="2"/>
      <c r="H13" s="71"/>
      <c r="I13" s="75">
        <f t="shared" si="0"/>
        <v>2</v>
      </c>
      <c r="K13" s="107" t="s">
        <v>100</v>
      </c>
      <c r="L13" s="82">
        <v>45732</v>
      </c>
      <c r="M13" s="123" t="s">
        <v>112</v>
      </c>
    </row>
    <row r="14" spans="1:13" x14ac:dyDescent="0.3">
      <c r="A14" s="8" t="s">
        <v>62</v>
      </c>
      <c r="B14" s="66" t="s">
        <v>113</v>
      </c>
      <c r="C14" s="126">
        <v>1</v>
      </c>
      <c r="D14" s="2"/>
      <c r="E14" s="89">
        <v>1</v>
      </c>
      <c r="F14" s="80">
        <v>1</v>
      </c>
      <c r="G14" s="93">
        <v>1</v>
      </c>
      <c r="H14" s="71"/>
      <c r="I14" s="75">
        <f t="shared" si="0"/>
        <v>4</v>
      </c>
      <c r="K14" s="106" t="s">
        <v>95</v>
      </c>
      <c r="L14" s="82">
        <v>45732</v>
      </c>
      <c r="M14" s="123" t="s">
        <v>106</v>
      </c>
    </row>
    <row r="15" spans="1:13" x14ac:dyDescent="0.3">
      <c r="A15" s="8" t="s">
        <v>57</v>
      </c>
      <c r="B15" s="66" t="s">
        <v>114</v>
      </c>
      <c r="C15" s="126">
        <v>1</v>
      </c>
      <c r="D15" s="2"/>
      <c r="E15" s="89">
        <v>1</v>
      </c>
      <c r="F15" s="2"/>
      <c r="G15" s="91">
        <v>1</v>
      </c>
      <c r="H15" s="71"/>
      <c r="I15" s="75">
        <f t="shared" si="0"/>
        <v>3</v>
      </c>
      <c r="K15" s="107" t="s">
        <v>100</v>
      </c>
      <c r="L15" s="82">
        <v>45732</v>
      </c>
      <c r="M15" s="123" t="s">
        <v>115</v>
      </c>
    </row>
    <row r="16" spans="1:13" x14ac:dyDescent="0.3">
      <c r="A16" s="59" t="s">
        <v>53</v>
      </c>
      <c r="B16" s="66" t="s">
        <v>116</v>
      </c>
      <c r="C16" s="126">
        <v>1</v>
      </c>
      <c r="D16" s="2">
        <v>1</v>
      </c>
      <c r="E16" s="89">
        <v>1</v>
      </c>
      <c r="F16" s="80">
        <v>1</v>
      </c>
      <c r="G16" s="94">
        <v>1</v>
      </c>
      <c r="H16" s="71"/>
      <c r="I16" s="75">
        <f t="shared" si="0"/>
        <v>5</v>
      </c>
      <c r="K16" s="106" t="s">
        <v>95</v>
      </c>
      <c r="L16" s="82">
        <v>45732</v>
      </c>
      <c r="M16" s="123" t="s">
        <v>96</v>
      </c>
    </row>
    <row r="17" spans="1:13" ht="15" customHeight="1" thickBot="1" x14ac:dyDescent="0.35">
      <c r="A17" s="11" t="s">
        <v>64</v>
      </c>
      <c r="B17" s="67" t="s">
        <v>117</v>
      </c>
      <c r="C17" s="68"/>
      <c r="D17" s="69">
        <v>1</v>
      </c>
      <c r="E17" s="89">
        <v>1</v>
      </c>
      <c r="F17" s="81">
        <v>1</v>
      </c>
      <c r="G17" s="2"/>
      <c r="H17" s="72"/>
      <c r="I17" s="76">
        <f t="shared" si="0"/>
        <v>3</v>
      </c>
      <c r="K17" s="106" t="s">
        <v>95</v>
      </c>
      <c r="L17" s="82">
        <v>45732</v>
      </c>
      <c r="M17" s="123" t="s">
        <v>96</v>
      </c>
    </row>
    <row r="20" spans="1:13" x14ac:dyDescent="0.3">
      <c r="K20" s="106" t="s">
        <v>95</v>
      </c>
    </row>
    <row r="21" spans="1:13" x14ac:dyDescent="0.3">
      <c r="A21" t="s">
        <v>118</v>
      </c>
      <c r="C21" s="78">
        <v>45690</v>
      </c>
      <c r="D21" s="83">
        <v>45697</v>
      </c>
      <c r="E21" s="85">
        <v>45704</v>
      </c>
      <c r="F21" s="87">
        <v>45718</v>
      </c>
      <c r="G21" s="88">
        <v>45725</v>
      </c>
      <c r="H21" s="90">
        <v>45732</v>
      </c>
      <c r="I21" s="92">
        <v>45739</v>
      </c>
      <c r="K21" s="107" t="s">
        <v>100</v>
      </c>
    </row>
    <row r="22" spans="1:13" x14ac:dyDescent="0.3">
      <c r="K22" s="105" t="s">
        <v>91</v>
      </c>
    </row>
  </sheetData>
  <mergeCells count="1">
    <mergeCell ref="A1: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Расходы</vt:lpstr>
      <vt:lpstr>Доходы</vt:lpstr>
      <vt:lpstr>Счёт 1</vt:lpstr>
      <vt:lpstr>Счёт 2</vt:lpstr>
      <vt:lpstr>Вклады</vt:lpstr>
      <vt:lpstr>Акции</vt:lpstr>
      <vt:lpstr>Активы</vt:lpstr>
      <vt:lpstr>consensus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Tsygaika</cp:lastModifiedBy>
  <dcterms:created xsi:type="dcterms:W3CDTF">2024-05-26T10:00:19Z</dcterms:created>
  <dcterms:modified xsi:type="dcterms:W3CDTF">2026-02-16T18:16:34Z</dcterms:modified>
</cp:coreProperties>
</file>